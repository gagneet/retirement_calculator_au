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xpense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penseProjection" displayName="ExpenseProjection" ref="A1:D9" headerRowCount="1">
  <autoFilter ref="A1:D9"/>
  <tableColumns count="4">
    <tableColumn id="1" name="Category"/>
    <tableColumn id="2" name="% of Total"/>
    <tableColumn id="3" name="Annual Expense (2045)"/>
    <tableColumn id="4" name="Monthly Expense (204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 ASFA Annual Expense (2025)</t>
        </is>
      </c>
      <c r="B2" t="n">
        <v>73875</v>
      </c>
    </row>
    <row r="3">
      <c r="A3" t="inlineStr">
        <is>
          <t>Inflation Rate</t>
        </is>
      </c>
      <c r="B3" t="n">
        <v>0.03</v>
      </c>
    </row>
    <row r="4">
      <c r="A4" t="inlineStr">
        <is>
          <t>Years to Retirement</t>
        </is>
      </c>
      <c r="B4" t="n">
        <v>20</v>
      </c>
    </row>
    <row r="5">
      <c r="A5" t="inlineStr">
        <is>
          <t>Housing %</t>
        </is>
      </c>
      <c r="B5" t="n">
        <v>0.25</v>
      </c>
    </row>
    <row r="6">
      <c r="A6" t="inlineStr">
        <is>
          <t>Food %</t>
        </is>
      </c>
      <c r="B6" t="n">
        <v>0.15</v>
      </c>
    </row>
    <row r="7">
      <c r="A7" t="inlineStr">
        <is>
          <t>Healthcare %</t>
        </is>
      </c>
      <c r="B7" t="n">
        <v>0.15</v>
      </c>
    </row>
    <row r="8">
      <c r="A8" t="inlineStr">
        <is>
          <t>Transport %</t>
        </is>
      </c>
      <c r="B8" t="n">
        <v>0.1</v>
      </c>
    </row>
    <row r="9">
      <c r="A9" t="inlineStr">
        <is>
          <t>Leisure %</t>
        </is>
      </c>
      <c r="B9" t="n">
        <v>0.15</v>
      </c>
    </row>
    <row r="10">
      <c r="A10" t="inlineStr">
        <is>
          <t>Insurance %</t>
        </is>
      </c>
      <c r="B10" t="n">
        <v>0.1</v>
      </c>
    </row>
    <row r="11">
      <c r="A11" t="inlineStr">
        <is>
          <t>Utilities %</t>
        </is>
      </c>
      <c r="B1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3" customWidth="1" min="3" max="3"/>
    <col width="24" customWidth="1" min="4" max="4"/>
  </cols>
  <sheetData>
    <row r="1">
      <c r="A1" s="1" t="inlineStr">
        <is>
          <t>Category</t>
        </is>
      </c>
      <c r="B1" s="1" t="inlineStr">
        <is>
          <t>% of Total</t>
        </is>
      </c>
      <c r="C1" s="1" t="inlineStr">
        <is>
          <t>Annual Expense (2045)</t>
        </is>
      </c>
      <c r="D1" s="1" t="inlineStr">
        <is>
          <t>Monthly Expense (2045)</t>
        </is>
      </c>
    </row>
    <row r="2">
      <c r="A2" t="inlineStr">
        <is>
          <t>Housing</t>
        </is>
      </c>
      <c r="B2">
        <f>Inputs!B5</f>
        <v/>
      </c>
      <c r="C2">
        <f>Inputs!$B$2*(1+Inputs!$B$3)^Inputs!$B$4*Inputs!B5</f>
        <v/>
      </c>
      <c r="D2">
        <f>C2/12</f>
        <v/>
      </c>
    </row>
    <row r="3">
      <c r="A3" t="inlineStr">
        <is>
          <t>Food</t>
        </is>
      </c>
      <c r="B3">
        <f>Inputs!B6</f>
        <v/>
      </c>
      <c r="C3">
        <f>Inputs!$B$2*(1+Inputs!$B$3)^Inputs!$B$4*Inputs!B6</f>
        <v/>
      </c>
      <c r="D3">
        <f>C3/12</f>
        <v/>
      </c>
    </row>
    <row r="4">
      <c r="A4" t="inlineStr">
        <is>
          <t>Healthcare</t>
        </is>
      </c>
      <c r="B4">
        <f>Inputs!B7</f>
        <v/>
      </c>
      <c r="C4">
        <f>Inputs!$B$2*(1+Inputs!$B$3)^Inputs!$B$4*Inputs!B7</f>
        <v/>
      </c>
      <c r="D4">
        <f>C4/12</f>
        <v/>
      </c>
    </row>
    <row r="5">
      <c r="A5" t="inlineStr">
        <is>
          <t>Transport</t>
        </is>
      </c>
      <c r="B5">
        <f>Inputs!B8</f>
        <v/>
      </c>
      <c r="C5">
        <f>Inputs!$B$2*(1+Inputs!$B$3)^Inputs!$B$4*Inputs!B8</f>
        <v/>
      </c>
      <c r="D5">
        <f>C5/12</f>
        <v/>
      </c>
    </row>
    <row r="6">
      <c r="A6" t="inlineStr">
        <is>
          <t>Leisure</t>
        </is>
      </c>
      <c r="B6">
        <f>Inputs!B9</f>
        <v/>
      </c>
      <c r="C6">
        <f>Inputs!$B$2*(1+Inputs!$B$3)^Inputs!$B$4*Inputs!B9</f>
        <v/>
      </c>
      <c r="D6">
        <f>C6/12</f>
        <v/>
      </c>
    </row>
    <row r="7">
      <c r="A7" t="inlineStr">
        <is>
          <t>Insurance</t>
        </is>
      </c>
      <c r="B7">
        <f>Inputs!B10</f>
        <v/>
      </c>
      <c r="C7">
        <f>Inputs!$B$2*(1+Inputs!$B$3)^Inputs!$B$4*Inputs!B10</f>
        <v/>
      </c>
      <c r="D7">
        <f>C7/12</f>
        <v/>
      </c>
    </row>
    <row r="8">
      <c r="A8" t="inlineStr">
        <is>
          <t>Utilities</t>
        </is>
      </c>
      <c r="B8">
        <f>Inputs!B11</f>
        <v/>
      </c>
      <c r="C8">
        <f>Inputs!$B$2*(1+Inputs!$B$3)^Inputs!$B$4*Inputs!B11</f>
        <v/>
      </c>
      <c r="D8">
        <f>C8/12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2025-09-19T02:13:46Z</dcterms:created>
  <dcterms:modified xmlns:dcterms="http://purl.org/dc/terms/" xmlns:xsi="http://www.w3.org/2001/XMLSchema-instance" xsi:type="dcterms:W3CDTF">2025-09-19T02:13:46Z</dcterms:modified>
</cp:coreProperties>
</file>