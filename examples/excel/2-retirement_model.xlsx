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t="inlineStr">
        <is>
          <t>Current age</t>
        </is>
      </c>
      <c r="B1" t="n">
        <v>49</v>
      </c>
    </row>
    <row r="2">
      <c r="A2" t="inlineStr">
        <is>
          <t>Partner current age</t>
        </is>
      </c>
      <c r="B2" t="n">
        <v>44</v>
      </c>
    </row>
    <row r="3">
      <c r="A3" t="inlineStr">
        <is>
          <t>Planned retirement age</t>
        </is>
      </c>
      <c r="B3" t="n">
        <v>68</v>
      </c>
    </row>
    <row r="4">
      <c r="A4" t="inlineStr">
        <is>
          <t>Your expected lifespan</t>
        </is>
      </c>
      <c r="B4" t="n">
        <v>95</v>
      </c>
    </row>
    <row r="5">
      <c r="A5" t="inlineStr">
        <is>
          <t>Partner expected lifespan</t>
        </is>
      </c>
      <c r="B5" t="n">
        <v>99</v>
      </c>
    </row>
    <row r="6">
      <c r="A6" t="inlineStr">
        <is>
          <t>Current home value</t>
        </is>
      </c>
      <c r="B6" t="n">
        <v>700000</v>
      </c>
    </row>
    <row r="7">
      <c r="A7" t="inlineStr">
        <is>
          <t>Outstanding mortgage</t>
        </is>
      </c>
      <c r="B7" t="n">
        <v>500000</v>
      </c>
    </row>
    <row r="8">
      <c r="A8" t="inlineStr">
        <is>
          <t>Annual mortgage rate</t>
        </is>
      </c>
      <c r="B8" t="n">
        <v>0.05</v>
      </c>
    </row>
    <row r="9">
      <c r="A9" t="inlineStr">
        <is>
          <t>Years left on mortgage</t>
        </is>
      </c>
      <c r="B9" t="n">
        <v>25.3</v>
      </c>
    </row>
    <row r="10">
      <c r="A10" t="inlineStr">
        <is>
          <t>Current Cash/Savings</t>
        </is>
      </c>
      <c r="B10" t="n">
        <v>55000</v>
      </c>
    </row>
    <row r="11">
      <c r="A11" t="inlineStr">
        <is>
          <t>Stock portfolio</t>
        </is>
      </c>
      <c r="B11" t="n">
        <v>62000</v>
      </c>
    </row>
    <row r="12">
      <c r="A12" t="inlineStr">
        <is>
          <t>Annual salary</t>
        </is>
      </c>
      <c r="B12" t="n">
        <v>140000</v>
      </c>
    </row>
    <row r="13">
      <c r="A13" t="inlineStr">
        <is>
          <t>Partner annual salary</t>
        </is>
      </c>
      <c r="B13" t="n">
        <v>36000</v>
      </c>
    </row>
    <row r="14">
      <c r="A14" t="inlineStr">
        <is>
          <t>% of income saved</t>
        </is>
      </c>
      <c r="B14" t="n">
        <v>0.1</v>
      </c>
    </row>
    <row r="15">
      <c r="A15" t="inlineStr">
        <is>
          <t>Monthly stock contributions</t>
        </is>
      </c>
      <c r="B15" t="n">
        <v>1000</v>
      </c>
    </row>
    <row r="16">
      <c r="A16" t="inlineStr">
        <is>
          <t>Annual inflation</t>
        </is>
      </c>
      <c r="B16" t="n">
        <v>0.03</v>
      </c>
    </row>
    <row r="17">
      <c r="A17" t="inlineStr">
        <is>
          <t>Annual investment return</t>
        </is>
      </c>
      <c r="B17" t="n">
        <v>0.07000000000000001</v>
      </c>
    </row>
    <row r="18">
      <c r="A18" t="inlineStr">
        <is>
          <t>Return on cash/savings</t>
        </is>
      </c>
      <c r="B18" t="n">
        <v>0.04</v>
      </c>
    </row>
    <row r="19">
      <c r="A19" t="inlineStr">
        <is>
          <t>Safe withdrawal rate</t>
        </is>
      </c>
      <c r="B19" t="n">
        <v>0.04</v>
      </c>
    </row>
    <row r="20">
      <c r="A20" t="inlineStr">
        <is>
          <t>Years to Retirement (calc)</t>
        </is>
      </c>
      <c r="B20">
        <f>B3-B1</f>
        <v/>
      </c>
    </row>
    <row r="21">
      <c r="A21" t="inlineStr">
        <is>
          <t>Years in Retirement (calc)</t>
        </is>
      </c>
      <c r="B21">
        <f>B4-B3</f>
        <v/>
      </c>
    </row>
    <row r="22">
      <c r="A22" t="inlineStr">
        <is>
          <t>Super growth %</t>
        </is>
      </c>
      <c r="B22" t="n">
        <v>0.09</v>
      </c>
    </row>
    <row r="23">
      <c r="A23" t="inlineStr">
        <is>
          <t>Super employer rate (SG%)</t>
        </is>
      </c>
      <c r="B23" t="n">
        <v>0.11</v>
      </c>
    </row>
    <row r="24">
      <c r="A24" t="inlineStr">
        <is>
          <t>Current Super balance</t>
        </is>
      </c>
      <c r="B24" t="n">
        <v>0</v>
      </c>
    </row>
    <row r="25">
      <c r="A25" t="inlineStr">
        <is>
          <t>ASFA comfortable couple annual (today)</t>
        </is>
      </c>
      <c r="B25" t="n">
        <v>73031</v>
      </c>
    </row>
    <row r="26">
      <c r="A26" t="inlineStr">
        <is>
          <t>Age Pension full couple annual (today)</t>
        </is>
      </c>
      <c r="B26" t="n">
        <v>46202</v>
      </c>
    </row>
    <row r="27">
      <c r="A27" t="inlineStr">
        <is>
          <t>Age Pension homeowner couple full assets threshold</t>
        </is>
      </c>
      <c r="B27" t="n">
        <v>481500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</cols>
  <sheetData>
    <row r="1">
      <c r="A1" t="inlineStr">
        <is>
          <t>Years to Retirement</t>
        </is>
      </c>
      <c r="B1">
        <f>Inputs!B3-Inputs!B1</f>
        <v/>
      </c>
    </row>
    <row r="2">
      <c r="A2" t="inlineStr">
        <is>
          <t>Years in Retirement (you)</t>
        </is>
      </c>
      <c r="B2">
        <f>Inputs!B4-Inputs!B3</f>
        <v/>
      </c>
    </row>
    <row r="3">
      <c r="A3" t="inlineStr">
        <is>
          <t>Years in Retirement (partner)</t>
        </is>
      </c>
      <c r="B3">
        <f>Inputs!B5-Inputs!B3</f>
        <v/>
      </c>
    </row>
    <row r="4">
      <c r="A4" t="inlineStr">
        <is>
          <t>Monthly Mortgage Payment</t>
        </is>
      </c>
      <c r="B4">
        <f>-PMT(Inputs!B8/12,ROUND(Inputs!B9*12,0),Inputs!B7)</f>
        <v/>
      </c>
    </row>
    <row r="5">
      <c r="A5" t="inlineStr">
        <is>
          <t>Home Value at Retirement</t>
        </is>
      </c>
      <c r="B5">
        <f>FV(Inputs!B16,Inputs!B20,0,-Inputs!B6)</f>
        <v/>
      </c>
    </row>
    <row r="6">
      <c r="A6" t="inlineStr">
        <is>
          <t>Mortgage Balance at Retirement</t>
        </is>
      </c>
      <c r="B6">
        <f>IF(Inputs!B9&lt;=Inputs!B20,0,ROUND(FV(Inputs!B8/12,Inputs!B20*12,-PMT(Inputs!B8/12,ROUND(Inputs!B9*12,0),Inputs!B7),-Inputs!B7),2))</f>
        <v/>
      </c>
    </row>
    <row r="7">
      <c r="A7" t="inlineStr">
        <is>
          <t>Net Home Equity at Retirement</t>
        </is>
      </c>
      <c r="B7">
        <f>B5-B6</f>
        <v/>
      </c>
    </row>
    <row r="8">
      <c r="A8" t="inlineStr">
        <is>
          <t>Current Combined Salary</t>
        </is>
      </c>
      <c r="B8">
        <f>Inputs!B12+Inputs!B13</f>
        <v/>
      </c>
    </row>
    <row r="9">
      <c r="A9" t="inlineStr">
        <is>
          <t>Current Annual Savings Contribution (from income)</t>
        </is>
      </c>
      <c r="B9">
        <f>(Inputs!B12+Inputs!B13)*Inputs!B14</f>
        <v/>
      </c>
    </row>
    <row r="10">
      <c r="A10" t="inlineStr">
        <is>
          <t>Annual Stock Contributions (from monthly)</t>
        </is>
      </c>
      <c r="B10">
        <f>Inputs!B15*12</f>
        <v/>
      </c>
    </row>
    <row r="11">
      <c r="A11" t="inlineStr">
        <is>
          <t>Total Annual Contributions</t>
        </is>
      </c>
      <c r="B11">
        <f>B8+B9</f>
        <v/>
      </c>
    </row>
    <row r="12">
      <c r="A12" t="inlineStr">
        <is>
          <t>Future Value of Current Savings</t>
        </is>
      </c>
      <c r="B12">
        <f>FV(Inputs!B18,Inputs!B20,0,-Inputs!B10)</f>
        <v/>
      </c>
    </row>
    <row r="13">
      <c r="A13" t="inlineStr">
        <is>
          <t>Future Value of Ongoing Annual Savings</t>
        </is>
      </c>
      <c r="B13">
        <f>FV(Inputs!B17,Inputs!B20,-B10,0)</f>
        <v/>
      </c>
    </row>
    <row r="14">
      <c r="A14" t="inlineStr">
        <is>
          <t>Future Value of Monthly Stock Contributions</t>
        </is>
      </c>
      <c r="B14">
        <f>FV(Inputs!B17/12,Inputs!B20*12,-Inputs!B15,0)</f>
        <v/>
      </c>
    </row>
    <row r="15">
      <c r="A15" t="inlineStr">
        <is>
          <t>Future Value of Current Stock Portfolio</t>
        </is>
      </c>
      <c r="B15">
        <f>FV(Inputs!B17,Inputs!B20,0,-Inputs!B11)</f>
        <v/>
      </c>
    </row>
    <row r="16">
      <c r="A16" t="inlineStr">
        <is>
          <t>Total Future Stock Portfolio</t>
        </is>
      </c>
      <c r="B16">
        <f>B13+B14</f>
        <v/>
      </c>
    </row>
    <row r="17">
      <c r="A17" t="inlineStr">
        <is>
          <t>Annual Super Contribution (employer SG)</t>
        </is>
      </c>
      <c r="B17">
        <f>(Inputs!B12+Inputs!B13)*Inputs!B23</f>
        <v/>
      </c>
    </row>
    <row r="18">
      <c r="A18" t="inlineStr">
        <is>
          <t>Future Value of Super (from current balance)</t>
        </is>
      </c>
      <c r="B18">
        <f>FV(Inputs!B22,Inputs!B20,-B16,-Inputs!B24)</f>
        <v/>
      </c>
    </row>
    <row r="19">
      <c r="A19" t="inlineStr">
        <is>
          <t>Total Assets at Retirement (ex home)</t>
        </is>
      </c>
      <c r="B19">
        <f>B12+B13+B17</f>
        <v/>
      </c>
    </row>
    <row r="20">
      <c r="A20" t="inlineStr">
        <is>
          <t>Total Assets at Retirement (incl home equity)</t>
        </is>
      </c>
      <c r="B20">
        <f>B18+B7</f>
        <v/>
      </c>
    </row>
    <row r="21">
      <c r="A21" t="inlineStr">
        <is>
          <t>ASFA comfortable annual at retirement (inflation adjusted)</t>
        </is>
      </c>
      <c r="B21">
        <f>Inputs!B25*(1+Inputs!B16)^Inputs!B20</f>
        <v/>
      </c>
    </row>
    <row r="22">
      <c r="A22" t="inlineStr">
        <is>
          <t>Required Retirement Corpus (Safe withdrawal)</t>
        </is>
      </c>
      <c r="B22">
        <f>B20/Inputs!B19</f>
        <v/>
      </c>
    </row>
    <row r="23">
      <c r="A23" t="inlineStr">
        <is>
          <t>Retirement Surplus/Shortfall</t>
        </is>
      </c>
      <c r="B23">
        <f>B19-B21</f>
        <v/>
      </c>
    </row>
    <row r="24">
      <c r="A24" t="inlineStr">
        <is>
          <t>Estimated Age Pension full couple annual (today)</t>
        </is>
      </c>
      <c r="B24">
        <f>Inputs!B26</f>
        <v/>
      </c>
    </row>
    <row r="25">
      <c r="A25" t="inlineStr">
        <is>
          <t>Age Pension assets threshold (homeowner couple)</t>
        </is>
      </c>
      <c r="B25">
        <f>Inputs!B27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Retirement Model Summary (key outputs)</t>
        </is>
      </c>
    </row>
    <row r="2">
      <c r="A2" t="inlineStr">
        <is>
          <t>Years to Retirement</t>
        </is>
      </c>
      <c r="B2">
        <f>Inputs!B20</f>
        <v/>
      </c>
    </row>
    <row r="3">
      <c r="A3" t="inlineStr">
        <is>
          <t>Home value at retirement</t>
        </is>
      </c>
      <c r="B3">
        <f>Calculations!B5</f>
        <v/>
      </c>
    </row>
    <row r="4">
      <c r="A4" t="inlineStr">
        <is>
          <t>Mortgage balance at retirement</t>
        </is>
      </c>
      <c r="B4">
        <f>Calculations!B6</f>
        <v/>
      </c>
    </row>
    <row r="5">
      <c r="A5" t="inlineStr">
        <is>
          <t>Net home equity at retirement</t>
        </is>
      </c>
      <c r="B5">
        <f>Calculations!B7</f>
        <v/>
      </c>
    </row>
    <row r="6">
      <c r="A6" t="inlineStr">
        <is>
          <t>Total assets (incl home) at retirement</t>
        </is>
      </c>
      <c r="B6">
        <f>Calculations!B19</f>
        <v/>
      </c>
    </row>
    <row r="7">
      <c r="A7" t="inlineStr">
        <is>
          <t>ASFA comfortable annual (inflation adjusted)</t>
        </is>
      </c>
      <c r="B7">
        <f>Calculations!B20</f>
        <v/>
      </c>
    </row>
    <row r="8">
      <c r="A8" t="inlineStr">
        <is>
          <t>Required retirement corpus (4% SWR)</t>
        </is>
      </c>
      <c r="B8">
        <f>Calculations!B21</f>
        <v/>
      </c>
    </row>
    <row r="9">
      <c r="A9" t="inlineStr">
        <is>
          <t>Retirement surplus / (shortfall)</t>
        </is>
      </c>
      <c r="B9">
        <f>Calculations!B22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2025-09-18T12:02:36Z</dcterms:created>
  <dcterms:modified xmlns:dcterms="http://purl.org/dc/terms/" xmlns:xsi="http://www.w3.org/2001/XMLSchema-instance" xsi:type="dcterms:W3CDTF">2025-09-18T12:02:36Z</dcterms:modified>
</cp:coreProperties>
</file>