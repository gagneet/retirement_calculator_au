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agneet\Downloads\"/>
    </mc:Choice>
  </mc:AlternateContent>
  <xr:revisionPtr revIDLastSave="0" documentId="13_ncr:1_{D640D8E3-E431-4E0E-8381-2849F9E5C6AE}" xr6:coauthVersionLast="47" xr6:coauthVersionMax="47" xr10:uidLastSave="{00000000-0000-0000-0000-000000000000}"/>
  <bookViews>
    <workbookView xWindow="-108" yWindow="-108" windowWidth="39096" windowHeight="25416" activeTab="1" xr2:uid="{00000000-000D-0000-FFFF-FFFF00000000}"/>
  </bookViews>
  <sheets>
    <sheet name="Inputs" sheetId="1" r:id="rId1"/>
    <sheet name="Retirement Summary" sheetId="2" r:id="rId2"/>
    <sheet name="Tax &amp; Pension" sheetId="3" r:id="rId3"/>
    <sheet name="Investment Portfol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D18" i="3"/>
  <c r="E18" i="3" s="1"/>
  <c r="C18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7" i="2"/>
  <c r="B18" i="2" s="1"/>
  <c r="B14" i="2"/>
  <c r="B15" i="2" s="1"/>
  <c r="B12" i="2"/>
  <c r="B11" i="2"/>
  <c r="B13" i="2" s="1"/>
  <c r="B8" i="2"/>
  <c r="B6" i="2"/>
  <c r="B4" i="2"/>
  <c r="B7" i="2" s="1"/>
  <c r="B3" i="2"/>
  <c r="B2" i="2"/>
  <c r="B5" i="2" s="1"/>
  <c r="C32" i="3" l="1"/>
  <c r="D32" i="3"/>
  <c r="E32" i="3" s="1"/>
  <c r="D31" i="3"/>
  <c r="E31" i="3" s="1"/>
  <c r="C31" i="3"/>
  <c r="D30" i="3"/>
  <c r="E30" i="3" s="1"/>
  <c r="C30" i="3"/>
  <c r="C29" i="3"/>
  <c r="D29" i="3"/>
  <c r="E29" i="3" s="1"/>
  <c r="C28" i="3"/>
  <c r="D28" i="3"/>
  <c r="E28" i="3" s="1"/>
  <c r="D27" i="3"/>
  <c r="E27" i="3" s="1"/>
  <c r="C27" i="3"/>
  <c r="D26" i="3"/>
  <c r="E26" i="3" s="1"/>
  <c r="C26" i="3"/>
  <c r="D25" i="3"/>
  <c r="E25" i="3" s="1"/>
  <c r="C25" i="3"/>
  <c r="C24" i="3"/>
  <c r="D24" i="3"/>
  <c r="E24" i="3" s="1"/>
  <c r="D23" i="3"/>
  <c r="E23" i="3" s="1"/>
  <c r="C23" i="3"/>
  <c r="D22" i="3"/>
  <c r="E22" i="3" s="1"/>
  <c r="C22" i="3"/>
  <c r="C21" i="3"/>
  <c r="D21" i="3"/>
  <c r="E21" i="3" s="1"/>
  <c r="C20" i="3"/>
  <c r="D20" i="3"/>
  <c r="E20" i="3" s="1"/>
  <c r="C19" i="3"/>
  <c r="D19" i="3"/>
  <c r="E19" i="3" s="1"/>
  <c r="C17" i="3"/>
  <c r="D17" i="3"/>
  <c r="E17" i="3" s="1"/>
  <c r="D16" i="3"/>
  <c r="E16" i="3" s="1"/>
  <c r="C16" i="3"/>
  <c r="D15" i="3"/>
  <c r="E15" i="3" s="1"/>
  <c r="C15" i="3"/>
  <c r="D14" i="3"/>
  <c r="E14" i="3" s="1"/>
  <c r="C14" i="3"/>
  <c r="D13" i="3"/>
  <c r="E13" i="3" s="1"/>
  <c r="C13" i="3"/>
  <c r="D12" i="3"/>
  <c r="E12" i="3" s="1"/>
  <c r="C12" i="3"/>
  <c r="D11" i="3"/>
  <c r="E11" i="3" s="1"/>
  <c r="C11" i="3"/>
  <c r="C10" i="3"/>
  <c r="D10" i="3"/>
  <c r="E10" i="3" s="1"/>
  <c r="C9" i="3"/>
  <c r="D9" i="3"/>
  <c r="E9" i="3" s="1"/>
  <c r="C8" i="3"/>
  <c r="D8" i="3"/>
  <c r="E8" i="3" s="1"/>
  <c r="C7" i="3"/>
  <c r="D7" i="3"/>
  <c r="E7" i="3" s="1"/>
  <c r="D6" i="3"/>
  <c r="E6" i="3" s="1"/>
  <c r="C6" i="3"/>
  <c r="C5" i="3"/>
  <c r="D5" i="3"/>
  <c r="E5" i="3" s="1"/>
  <c r="D4" i="3"/>
  <c r="E4" i="3" s="1"/>
  <c r="C4" i="3"/>
  <c r="D3" i="3"/>
  <c r="E3" i="3" s="1"/>
  <c r="C3" i="3"/>
  <c r="D2" i="3"/>
  <c r="E2" i="3" s="1"/>
  <c r="C2" i="3"/>
  <c r="B9" i="2"/>
  <c r="B10" i="2" s="1"/>
  <c r="B16" i="2" s="1"/>
  <c r="B19" i="2" s="1"/>
  <c r="B12" i="4"/>
  <c r="B23" i="4"/>
  <c r="B9" i="4"/>
  <c r="B32" i="4"/>
  <c r="B19" i="4"/>
  <c r="B27" i="4"/>
  <c r="C9" i="4"/>
  <c r="C12" i="4"/>
  <c r="C27" i="4"/>
  <c r="B13" i="4"/>
  <c r="B10" i="4"/>
  <c r="B3" i="4"/>
  <c r="B28" i="4"/>
  <c r="B29" i="4"/>
  <c r="B16" i="4"/>
  <c r="B15" i="4"/>
  <c r="B20" i="4"/>
  <c r="B2" i="4"/>
  <c r="C2" i="4"/>
  <c r="B14" i="4"/>
  <c r="B7" i="4"/>
  <c r="B5" i="4"/>
  <c r="C5" i="4"/>
  <c r="B26" i="4"/>
  <c r="B17" i="4"/>
  <c r="C28" i="4"/>
  <c r="B21" i="4"/>
  <c r="B8" i="4"/>
  <c r="C20" i="4"/>
  <c r="B11" i="4"/>
  <c r="B22" i="4"/>
  <c r="C23" i="4"/>
  <c r="B24" i="4"/>
  <c r="C32" i="4"/>
  <c r="C3" i="4"/>
  <c r="C24" i="4"/>
  <c r="C29" i="4"/>
  <c r="B25" i="4"/>
  <c r="C15" i="4"/>
  <c r="C19" i="4"/>
  <c r="B31" i="4"/>
  <c r="C16" i="4"/>
  <c r="B30" i="4"/>
  <c r="B4" i="4"/>
  <c r="C22" i="4"/>
  <c r="C7" i="4"/>
  <c r="B6" i="4"/>
  <c r="B18" i="4"/>
  <c r="C13" i="4"/>
  <c r="C31" i="4"/>
  <c r="C30" i="4"/>
  <c r="C21" i="4"/>
  <c r="C8" i="4"/>
  <c r="C10" i="4"/>
  <c r="C17" i="4"/>
  <c r="C14" i="4"/>
  <c r="C4" i="4"/>
  <c r="C25" i="4"/>
  <c r="C11" i="4"/>
  <c r="C26" i="4"/>
  <c r="C6" i="4"/>
  <c r="C18" i="4"/>
</calcChain>
</file>

<file path=xl/sharedStrings.xml><?xml version="1.0" encoding="utf-8"?>
<sst xmlns="http://schemas.openxmlformats.org/spreadsheetml/2006/main" count="58" uniqueCount="56">
  <si>
    <t>Parameter</t>
  </si>
  <si>
    <t>Value</t>
  </si>
  <si>
    <t>Current age</t>
  </si>
  <si>
    <t>Partner's current age</t>
  </si>
  <si>
    <t>Planned retirement age</t>
  </si>
  <si>
    <t>Your expected lifespan</t>
  </si>
  <si>
    <t>Partner's expected lifespan</t>
  </si>
  <si>
    <t>Current home value</t>
  </si>
  <si>
    <t>Outstanding mortgage</t>
  </si>
  <si>
    <t>Annual mortgage rate</t>
  </si>
  <si>
    <t>Years left on mortgage</t>
  </si>
  <si>
    <t>Current Cash/Savings</t>
  </si>
  <si>
    <t>Stock portfolio</t>
  </si>
  <si>
    <t>Annual salary</t>
  </si>
  <si>
    <t>Partner's annual salary</t>
  </si>
  <si>
    <t>% of income saved</t>
  </si>
  <si>
    <t>Monthly Stock contributions</t>
  </si>
  <si>
    <t>Annual inflation</t>
  </si>
  <si>
    <t>Annual investment return</t>
  </si>
  <si>
    <t>Return on cash/savings</t>
  </si>
  <si>
    <t>Safe withdrawal rate</t>
  </si>
  <si>
    <t>Years to Retirement</t>
  </si>
  <si>
    <t>Years in Retirement</t>
  </si>
  <si>
    <t>Current Superannuation Balance</t>
  </si>
  <si>
    <t>Superannuation Contributions %</t>
  </si>
  <si>
    <t>Superannuation growth %</t>
  </si>
  <si>
    <t>ASFA Comfortable Income (2025)</t>
  </si>
  <si>
    <t>Age Pension (2025)</t>
  </si>
  <si>
    <t>Metric</t>
  </si>
  <si>
    <t>Formula</t>
  </si>
  <si>
    <t>Monthly Mortgage Payment</t>
  </si>
  <si>
    <t>Home Value at Retirement</t>
  </si>
  <si>
    <t>Mortgage Balance at Retirement</t>
  </si>
  <si>
    <t>Net Home Equity at Retirement</t>
  </si>
  <si>
    <t>Current Combined Salary</t>
  </si>
  <si>
    <t>Current Annual Savings Contribution</t>
  </si>
  <si>
    <t>Future Value of Current Savings</t>
  </si>
  <si>
    <t>Future Value of Ongoing Savings Contributions</t>
  </si>
  <si>
    <t>Total Future Savings</t>
  </si>
  <si>
    <t>Future Value of Current Stock Portfolio</t>
  </si>
  <si>
    <t>Future Value of Monthly Stock Investments</t>
  </si>
  <si>
    <t>Total Future Stock Portfolio</t>
  </si>
  <si>
    <t>Superannuation Contributions</t>
  </si>
  <si>
    <t>Future Value of Superannuation</t>
  </si>
  <si>
    <t>Total Assets at Retirement</t>
  </si>
  <si>
    <t>Required Annual Income in Retirement</t>
  </si>
  <si>
    <t>Required Retirement Corpus</t>
  </si>
  <si>
    <t>Retirement Surplus/Shortfall</t>
  </si>
  <si>
    <t>Year</t>
  </si>
  <si>
    <t>Taxable Income</t>
  </si>
  <si>
    <t>Income Tax</t>
  </si>
  <si>
    <t>Age Pension Eligibility</t>
  </si>
  <si>
    <t>Age Pension Amount</t>
  </si>
  <si>
    <t>ETF Value</t>
  </si>
  <si>
    <t>Dividend Income</t>
  </si>
  <si>
    <t>Rebalanced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</si>
</sst>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6" formatCode="0.0000%"/>
    <numFmt numFmtId="167" formatCode="&quot;$&quot;#,##0.00;[Red]&quot;$&quot;#,##0.00"/>
    <numFmt numFmtId="168" formatCode="#,##0.00;[Red]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4" fontId="0" fillId="0" borderId="0" xfId="1" applyFont="1"/>
    <xf numFmtId="166" fontId="0" fillId="0" borderId="0" xfId="2" applyNumberFormat="1" applyFont="1"/>
    <xf numFmtId="167" fontId="0" fillId="0" borderId="0" xfId="1" applyNumberFormat="1" applyFont="1"/>
    <xf numFmtId="168" fontId="0" fillId="0" borderId="0" xfId="0" applyNumberForma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AU"/>
              <a:t>Income Tax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'Tax &amp; Pension'!$C$1</c:f>
              <c:strCache>
                <c:ptCount val="1"/>
                <c:pt idx="0">
                  <c:v>Income Tax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'Tax &amp; Pension'!$A$2:$A$32</c:f>
              <c:numCache>
                <c:formatCode>General</c:formatCode>
                <c:ptCount val="31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  <c:pt idx="11">
                  <c:v>56</c:v>
                </c:pt>
                <c:pt idx="12">
                  <c:v>57</c:v>
                </c:pt>
                <c:pt idx="13">
                  <c:v>58</c:v>
                </c:pt>
                <c:pt idx="14">
                  <c:v>59</c:v>
                </c:pt>
                <c:pt idx="15">
                  <c:v>60</c:v>
                </c:pt>
                <c:pt idx="16">
                  <c:v>61</c:v>
                </c:pt>
                <c:pt idx="17">
                  <c:v>62</c:v>
                </c:pt>
                <c:pt idx="18">
                  <c:v>63</c:v>
                </c:pt>
                <c:pt idx="19">
                  <c:v>64</c:v>
                </c:pt>
                <c:pt idx="20">
                  <c:v>65</c:v>
                </c:pt>
                <c:pt idx="21">
                  <c:v>66</c:v>
                </c:pt>
                <c:pt idx="22">
                  <c:v>67</c:v>
                </c:pt>
                <c:pt idx="23">
                  <c:v>68</c:v>
                </c:pt>
                <c:pt idx="24">
                  <c:v>69</c:v>
                </c:pt>
                <c:pt idx="25">
                  <c:v>70</c:v>
                </c:pt>
                <c:pt idx="26">
                  <c:v>71</c:v>
                </c:pt>
                <c:pt idx="27">
                  <c:v>72</c:v>
                </c:pt>
                <c:pt idx="28">
                  <c:v>73</c:v>
                </c:pt>
                <c:pt idx="29">
                  <c:v>74</c:v>
                </c:pt>
                <c:pt idx="30">
                  <c:v>75</c:v>
                </c:pt>
              </c:numCache>
            </c:numRef>
          </c:cat>
          <c:val>
            <c:numRef>
              <c:f>'Tax &amp; Pension'!$C$2:$C$32</c:f>
              <c:numCache>
                <c:formatCode>_("$"* #,##0.00_);_("$"* \(#,##0.00\);_("$"* "-"??_);_(@_)</c:formatCode>
                <c:ptCount val="31"/>
                <c:pt idx="0">
                  <c:v>1004370667</c:v>
                </c:pt>
                <c:pt idx="1">
                  <c:v>1004370667</c:v>
                </c:pt>
                <c:pt idx="2">
                  <c:v>1004370667</c:v>
                </c:pt>
                <c:pt idx="3">
                  <c:v>1004370667</c:v>
                </c:pt>
                <c:pt idx="4">
                  <c:v>1004370667</c:v>
                </c:pt>
                <c:pt idx="5">
                  <c:v>1004370667</c:v>
                </c:pt>
                <c:pt idx="6">
                  <c:v>1004370667</c:v>
                </c:pt>
                <c:pt idx="7">
                  <c:v>1004370667</c:v>
                </c:pt>
                <c:pt idx="8">
                  <c:v>1004370667</c:v>
                </c:pt>
                <c:pt idx="9">
                  <c:v>1004370667</c:v>
                </c:pt>
                <c:pt idx="10">
                  <c:v>1004370667</c:v>
                </c:pt>
                <c:pt idx="11">
                  <c:v>1004370667</c:v>
                </c:pt>
                <c:pt idx="12">
                  <c:v>1004370667</c:v>
                </c:pt>
                <c:pt idx="13">
                  <c:v>1004370667</c:v>
                </c:pt>
                <c:pt idx="14">
                  <c:v>1004370667</c:v>
                </c:pt>
                <c:pt idx="15">
                  <c:v>1004370667</c:v>
                </c:pt>
                <c:pt idx="16">
                  <c:v>1004370667</c:v>
                </c:pt>
                <c:pt idx="17">
                  <c:v>1004370667</c:v>
                </c:pt>
                <c:pt idx="18">
                  <c:v>1004370667</c:v>
                </c:pt>
                <c:pt idx="19">
                  <c:v>1004370667</c:v>
                </c:pt>
                <c:pt idx="20">
                  <c:v>1004370667</c:v>
                </c:pt>
                <c:pt idx="21">
                  <c:v>1004370667</c:v>
                </c:pt>
                <c:pt idx="22">
                  <c:v>1004370667</c:v>
                </c:pt>
                <c:pt idx="23">
                  <c:v>1004370667</c:v>
                </c:pt>
                <c:pt idx="24">
                  <c:v>1004370667</c:v>
                </c:pt>
                <c:pt idx="25">
                  <c:v>1004370667</c:v>
                </c:pt>
                <c:pt idx="26">
                  <c:v>1004370667</c:v>
                </c:pt>
                <c:pt idx="27">
                  <c:v>1004370667</c:v>
                </c:pt>
                <c:pt idx="28">
                  <c:v>1004370667</c:v>
                </c:pt>
                <c:pt idx="29">
                  <c:v>1004370667</c:v>
                </c:pt>
                <c:pt idx="30">
                  <c:v>1004370667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2C-4F48-8854-96C08789A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Amount ($)</a:t>
                </a:r>
              </a:p>
            </c:rich>
          </c:tx>
          <c:overlay val="1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AU"/>
              <a:t>Age Pension Amount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'Tax &amp; Pension'!$E$1</c:f>
              <c:strCache>
                <c:ptCount val="1"/>
                <c:pt idx="0">
                  <c:v>Age Pension Amount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'Tax &amp; Pension'!$A$2:$A$32</c:f>
              <c:numCache>
                <c:formatCode>General</c:formatCode>
                <c:ptCount val="31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  <c:pt idx="11">
                  <c:v>56</c:v>
                </c:pt>
                <c:pt idx="12">
                  <c:v>57</c:v>
                </c:pt>
                <c:pt idx="13">
                  <c:v>58</c:v>
                </c:pt>
                <c:pt idx="14">
                  <c:v>59</c:v>
                </c:pt>
                <c:pt idx="15">
                  <c:v>60</c:v>
                </c:pt>
                <c:pt idx="16">
                  <c:v>61</c:v>
                </c:pt>
                <c:pt idx="17">
                  <c:v>62</c:v>
                </c:pt>
                <c:pt idx="18">
                  <c:v>63</c:v>
                </c:pt>
                <c:pt idx="19">
                  <c:v>64</c:v>
                </c:pt>
                <c:pt idx="20">
                  <c:v>65</c:v>
                </c:pt>
                <c:pt idx="21">
                  <c:v>66</c:v>
                </c:pt>
                <c:pt idx="22">
                  <c:v>67</c:v>
                </c:pt>
                <c:pt idx="23">
                  <c:v>68</c:v>
                </c:pt>
                <c:pt idx="24">
                  <c:v>69</c:v>
                </c:pt>
                <c:pt idx="25">
                  <c:v>70</c:v>
                </c:pt>
                <c:pt idx="26">
                  <c:v>71</c:v>
                </c:pt>
                <c:pt idx="27">
                  <c:v>72</c:v>
                </c:pt>
                <c:pt idx="28">
                  <c:v>73</c:v>
                </c:pt>
                <c:pt idx="29">
                  <c:v>74</c:v>
                </c:pt>
                <c:pt idx="30">
                  <c:v>75</c:v>
                </c:pt>
              </c:numCache>
            </c:numRef>
          </c:cat>
          <c:val>
            <c:numRef>
              <c:f>'Tax &amp; Pension'!$E$2:$E$32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77-4721-9175-118905430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Amount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AU"/>
              <a:t>ETF Value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'Investment Portfolio'!$B$1</c:f>
              <c:strCache>
                <c:ptCount val="1"/>
                <c:pt idx="0">
                  <c:v>ETF Value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'Investment Portfolio'!$A$2:$A$32</c:f>
              <c:numCache>
                <c:formatCode>General</c:formatCode>
                <c:ptCount val="31"/>
                <c:pt idx="0">
                  <c:v>149800</c:v>
                </c:pt>
                <c:pt idx="1">
                  <c:v>160286</c:v>
                </c:pt>
                <c:pt idx="2">
                  <c:v>171506.02000000002</c:v>
                </c:pt>
                <c:pt idx="3">
                  <c:v>183511.44140000001</c:v>
                </c:pt>
                <c:pt idx="4">
                  <c:v>196357.24229800003</c:v>
                </c:pt>
                <c:pt idx="5">
                  <c:v>210102.24925886001</c:v>
                </c:pt>
                <c:pt idx="6">
                  <c:v>224809.40670698023</c:v>
                </c:pt>
                <c:pt idx="7">
                  <c:v>240546.06517646884</c:v>
                </c:pt>
                <c:pt idx="8">
                  <c:v>257384.28973882168</c:v>
                </c:pt>
                <c:pt idx="9">
                  <c:v>275401.19002053916</c:v>
                </c:pt>
                <c:pt idx="10">
                  <c:v>294679.27332197694</c:v>
                </c:pt>
                <c:pt idx="11">
                  <c:v>315306.82245451526</c:v>
                </c:pt>
                <c:pt idx="12">
                  <c:v>337378.30002633139</c:v>
                </c:pt>
                <c:pt idx="13">
                  <c:v>360994.78102817456</c:v>
                </c:pt>
                <c:pt idx="14">
                  <c:v>386264.41570014681</c:v>
                </c:pt>
                <c:pt idx="15">
                  <c:v>413302.92479915707</c:v>
                </c:pt>
                <c:pt idx="16">
                  <c:v>442234.12953509804</c:v>
                </c:pt>
                <c:pt idx="17">
                  <c:v>473190.51860255492</c:v>
                </c:pt>
                <c:pt idx="18">
                  <c:v>506313.85490473377</c:v>
                </c:pt>
                <c:pt idx="19">
                  <c:v>541755.82474806509</c:v>
                </c:pt>
                <c:pt idx="20">
                  <c:v>579678.73248042969</c:v>
                </c:pt>
                <c:pt idx="21">
                  <c:v>620256.24375405977</c:v>
                </c:pt>
                <c:pt idx="22">
                  <c:v>663674.18081684399</c:v>
                </c:pt>
                <c:pt idx="23">
                  <c:v>710131.37347402307</c:v>
                </c:pt>
                <c:pt idx="24">
                  <c:v>759840.56961720472</c:v>
                </c:pt>
                <c:pt idx="25">
                  <c:v>813029.40949040907</c:v>
                </c:pt>
                <c:pt idx="26">
                  <c:v>869941.46815473784</c:v>
                </c:pt>
                <c:pt idx="27">
                  <c:v>930837.37092556932</c:v>
                </c:pt>
                <c:pt idx="28">
                  <c:v>995995.9868903592</c:v>
                </c:pt>
                <c:pt idx="29">
                  <c:v>1065715.7059726843</c:v>
                </c:pt>
                <c:pt idx="30">
                  <c:v>1140315.8053907724</c:v>
                </c:pt>
              </c:numCache>
            </c:numRef>
          </c:cat>
          <c:val>
            <c:numRef>
              <c:f>'Investment Portfolio'!$B$2:$B$32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7A-4383-A047-8CDD3AC69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Amount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AU"/>
              <a:t>Dividend Income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'Investment Portfolio'!$C$1</c:f>
              <c:strCache>
                <c:ptCount val="1"/>
                <c:pt idx="0">
                  <c:v>Dividend 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'Investment Portfolio'!$A$2:$A$32</c:f>
              <c:numCache>
                <c:formatCode>General</c:formatCode>
                <c:ptCount val="31"/>
                <c:pt idx="0">
                  <c:v>149800</c:v>
                </c:pt>
                <c:pt idx="1">
                  <c:v>160286</c:v>
                </c:pt>
                <c:pt idx="2">
                  <c:v>171506.02000000002</c:v>
                </c:pt>
                <c:pt idx="3">
                  <c:v>183511.44140000001</c:v>
                </c:pt>
                <c:pt idx="4">
                  <c:v>196357.24229800003</c:v>
                </c:pt>
                <c:pt idx="5">
                  <c:v>210102.24925886001</c:v>
                </c:pt>
                <c:pt idx="6">
                  <c:v>224809.40670698023</c:v>
                </c:pt>
                <c:pt idx="7">
                  <c:v>240546.06517646884</c:v>
                </c:pt>
                <c:pt idx="8">
                  <c:v>257384.28973882168</c:v>
                </c:pt>
                <c:pt idx="9">
                  <c:v>275401.19002053916</c:v>
                </c:pt>
                <c:pt idx="10">
                  <c:v>294679.27332197694</c:v>
                </c:pt>
                <c:pt idx="11">
                  <c:v>315306.82245451526</c:v>
                </c:pt>
                <c:pt idx="12">
                  <c:v>337378.30002633139</c:v>
                </c:pt>
                <c:pt idx="13">
                  <c:v>360994.78102817456</c:v>
                </c:pt>
                <c:pt idx="14">
                  <c:v>386264.41570014681</c:v>
                </c:pt>
                <c:pt idx="15">
                  <c:v>413302.92479915707</c:v>
                </c:pt>
                <c:pt idx="16">
                  <c:v>442234.12953509804</c:v>
                </c:pt>
                <c:pt idx="17">
                  <c:v>473190.51860255492</c:v>
                </c:pt>
                <c:pt idx="18">
                  <c:v>506313.85490473377</c:v>
                </c:pt>
                <c:pt idx="19">
                  <c:v>541755.82474806509</c:v>
                </c:pt>
                <c:pt idx="20">
                  <c:v>579678.73248042969</c:v>
                </c:pt>
                <c:pt idx="21">
                  <c:v>620256.24375405977</c:v>
                </c:pt>
                <c:pt idx="22">
                  <c:v>663674.18081684399</c:v>
                </c:pt>
                <c:pt idx="23">
                  <c:v>710131.37347402307</c:v>
                </c:pt>
                <c:pt idx="24">
                  <c:v>759840.56961720472</c:v>
                </c:pt>
                <c:pt idx="25">
                  <c:v>813029.40949040907</c:v>
                </c:pt>
                <c:pt idx="26">
                  <c:v>869941.46815473784</c:v>
                </c:pt>
                <c:pt idx="27">
                  <c:v>930837.37092556932</c:v>
                </c:pt>
                <c:pt idx="28">
                  <c:v>995995.9868903592</c:v>
                </c:pt>
                <c:pt idx="29">
                  <c:v>1065715.7059726843</c:v>
                </c:pt>
                <c:pt idx="30">
                  <c:v>1140315.8053907724</c:v>
                </c:pt>
              </c:numCache>
            </c:numRef>
          </c:cat>
          <c:val>
            <c:numRef>
              <c:f>'Investment Portfolio'!$C$2:$C$32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0D-43E6-BDAC-753737DD4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Amount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A14" sqref="A14"/>
    </sheetView>
  </sheetViews>
  <sheetFormatPr defaultRowHeight="14.4" x14ac:dyDescent="0.3"/>
  <cols>
    <col min="1" max="1" width="32" customWidth="1"/>
    <col min="2" max="2" width="12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5">
        <v>49</v>
      </c>
    </row>
    <row r="3" spans="1:2" x14ac:dyDescent="0.3">
      <c r="A3" t="s">
        <v>3</v>
      </c>
      <c r="B3" s="5">
        <v>44</v>
      </c>
    </row>
    <row r="4" spans="1:2" x14ac:dyDescent="0.3">
      <c r="A4" t="s">
        <v>4</v>
      </c>
      <c r="B4" s="5">
        <v>68</v>
      </c>
    </row>
    <row r="5" spans="1:2" x14ac:dyDescent="0.3">
      <c r="A5" t="s">
        <v>5</v>
      </c>
      <c r="B5" s="5">
        <v>95</v>
      </c>
    </row>
    <row r="6" spans="1:2" x14ac:dyDescent="0.3">
      <c r="A6" t="s">
        <v>6</v>
      </c>
      <c r="B6" s="5">
        <v>99</v>
      </c>
    </row>
    <row r="7" spans="1:2" x14ac:dyDescent="0.3">
      <c r="A7" t="s">
        <v>7</v>
      </c>
      <c r="B7" s="4">
        <v>700000</v>
      </c>
    </row>
    <row r="8" spans="1:2" x14ac:dyDescent="0.3">
      <c r="A8" t="s">
        <v>8</v>
      </c>
      <c r="B8" s="4">
        <v>500000</v>
      </c>
    </row>
    <row r="9" spans="1:2" x14ac:dyDescent="0.3">
      <c r="A9" t="s">
        <v>9</v>
      </c>
      <c r="B9" s="3">
        <v>5.2699999999999997E-2</v>
      </c>
    </row>
    <row r="10" spans="1:2" x14ac:dyDescent="0.3">
      <c r="A10" t="s">
        <v>10</v>
      </c>
      <c r="B10" s="5">
        <v>26.25</v>
      </c>
    </row>
    <row r="11" spans="1:2" x14ac:dyDescent="0.3">
      <c r="A11" t="s">
        <v>11</v>
      </c>
      <c r="B11" s="4">
        <v>55000</v>
      </c>
    </row>
    <row r="12" spans="1:2" x14ac:dyDescent="0.3">
      <c r="A12" t="s">
        <v>12</v>
      </c>
      <c r="B12" s="4">
        <v>62000</v>
      </c>
    </row>
    <row r="13" spans="1:2" x14ac:dyDescent="0.3">
      <c r="A13" t="s">
        <v>13</v>
      </c>
      <c r="B13" s="4">
        <v>140000</v>
      </c>
    </row>
    <row r="14" spans="1:2" x14ac:dyDescent="0.3">
      <c r="A14" t="s">
        <v>14</v>
      </c>
      <c r="B14" s="4">
        <v>36000</v>
      </c>
    </row>
    <row r="15" spans="1:2" x14ac:dyDescent="0.3">
      <c r="A15" t="s">
        <v>15</v>
      </c>
      <c r="B15" s="3">
        <v>0.1</v>
      </c>
    </row>
    <row r="16" spans="1:2" x14ac:dyDescent="0.3">
      <c r="A16" t="s">
        <v>16</v>
      </c>
      <c r="B16" s="4">
        <v>1000</v>
      </c>
    </row>
    <row r="17" spans="1:2" x14ac:dyDescent="0.3">
      <c r="A17" t="s">
        <v>17</v>
      </c>
      <c r="B17" s="3">
        <v>0.03</v>
      </c>
    </row>
    <row r="18" spans="1:2" x14ac:dyDescent="0.3">
      <c r="A18" t="s">
        <v>18</v>
      </c>
      <c r="B18" s="3">
        <v>7.0000000000000007E-2</v>
      </c>
    </row>
    <row r="19" spans="1:2" x14ac:dyDescent="0.3">
      <c r="A19" t="s">
        <v>19</v>
      </c>
      <c r="B19" s="3">
        <v>0.04</v>
      </c>
    </row>
    <row r="20" spans="1:2" x14ac:dyDescent="0.3">
      <c r="A20" t="s">
        <v>20</v>
      </c>
      <c r="B20" s="3">
        <v>0.04</v>
      </c>
    </row>
    <row r="21" spans="1:2" x14ac:dyDescent="0.3">
      <c r="A21" t="s">
        <v>21</v>
      </c>
      <c r="B21" s="5">
        <v>19</v>
      </c>
    </row>
    <row r="22" spans="1:2" x14ac:dyDescent="0.3">
      <c r="A22" t="s">
        <v>22</v>
      </c>
      <c r="B22" s="5">
        <v>31</v>
      </c>
    </row>
    <row r="23" spans="1:2" x14ac:dyDescent="0.3">
      <c r="A23" t="s">
        <v>23</v>
      </c>
      <c r="B23" s="4">
        <v>300000</v>
      </c>
    </row>
    <row r="24" spans="1:2" x14ac:dyDescent="0.3">
      <c r="A24" t="s">
        <v>24</v>
      </c>
      <c r="B24" s="3">
        <v>0.12</v>
      </c>
    </row>
    <row r="25" spans="1:2" x14ac:dyDescent="0.3">
      <c r="A25" t="s">
        <v>25</v>
      </c>
      <c r="B25" s="3">
        <v>0.09</v>
      </c>
    </row>
    <row r="26" spans="1:2" x14ac:dyDescent="0.3">
      <c r="A26" t="s">
        <v>26</v>
      </c>
      <c r="B26" s="4">
        <v>73875</v>
      </c>
    </row>
    <row r="27" spans="1:2" x14ac:dyDescent="0.3">
      <c r="A27" t="s">
        <v>27</v>
      </c>
      <c r="B27" s="4">
        <v>45037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B4" sqref="B4"/>
    </sheetView>
  </sheetViews>
  <sheetFormatPr defaultRowHeight="14.4" x14ac:dyDescent="0.3"/>
  <cols>
    <col min="1" max="1" width="47" customWidth="1"/>
    <col min="2" max="2" width="22" bestFit="1" customWidth="1"/>
    <col min="3" max="3" width="7" customWidth="1"/>
  </cols>
  <sheetData>
    <row r="1" spans="1:3" x14ac:dyDescent="0.3">
      <c r="A1" s="1" t="s">
        <v>28</v>
      </c>
      <c r="B1" s="1" t="s">
        <v>29</v>
      </c>
      <c r="C1" s="1" t="s">
        <v>1</v>
      </c>
    </row>
    <row r="2" spans="1:3" x14ac:dyDescent="0.3">
      <c r="A2" t="s">
        <v>30</v>
      </c>
      <c r="B2" s="4">
        <f>PMT(Inputs!B9/12, Inputs!B10*12, -Inputs!B8)</f>
        <v>2933.6116391138185</v>
      </c>
    </row>
    <row r="3" spans="1:3" x14ac:dyDescent="0.3">
      <c r="A3" t="s">
        <v>31</v>
      </c>
      <c r="B3" s="4">
        <f>Inputs!B6*(1+Inputs!B17)^Inputs!B21</f>
        <v>173.59709925463292</v>
      </c>
    </row>
    <row r="4" spans="1:3" x14ac:dyDescent="0.3">
      <c r="A4" t="s">
        <v>32</v>
      </c>
      <c r="B4" s="4">
        <f>FV(Inputs!B9/12, Inputs!B21*12, Inputs!B8, 0)</f>
        <v>-195353790.97482127</v>
      </c>
    </row>
    <row r="5" spans="1:3" x14ac:dyDescent="0.3">
      <c r="A5" t="s">
        <v>33</v>
      </c>
      <c r="B5" s="4">
        <f>B2-B3</f>
        <v>2760.0145398591853</v>
      </c>
    </row>
    <row r="6" spans="1:3" x14ac:dyDescent="0.3">
      <c r="A6" t="s">
        <v>34</v>
      </c>
      <c r="B6" s="4">
        <f>Inputs!B12+Inputs!B13</f>
        <v>202000</v>
      </c>
    </row>
    <row r="7" spans="1:3" x14ac:dyDescent="0.3">
      <c r="A7" t="s">
        <v>35</v>
      </c>
      <c r="B7" s="4">
        <f>B4*Inputs!B14</f>
        <v>-7032736475093.5654</v>
      </c>
    </row>
    <row r="8" spans="1:3" x14ac:dyDescent="0.3">
      <c r="A8" t="s">
        <v>36</v>
      </c>
      <c r="B8" s="4">
        <f>Inputs!B11*(1+Inputs!B18)^Inputs!B21</f>
        <v>198909.01442685971</v>
      </c>
    </row>
    <row r="9" spans="1:3" x14ac:dyDescent="0.3">
      <c r="A9" t="s">
        <v>37</v>
      </c>
      <c r="B9" s="4">
        <f>FV(Inputs!B18, Inputs!B21, B6, B7)</f>
        <v>25434077558261.633</v>
      </c>
    </row>
    <row r="10" spans="1:3" x14ac:dyDescent="0.3">
      <c r="A10" t="s">
        <v>38</v>
      </c>
      <c r="B10" s="4">
        <f>B8+B9</f>
        <v>25434077757170.648</v>
      </c>
    </row>
    <row r="11" spans="1:3" x14ac:dyDescent="0.3">
      <c r="A11" t="s">
        <v>39</v>
      </c>
      <c r="B11" s="4">
        <f>Inputs!B12*(1+Inputs!B17)^Inputs!B21</f>
        <v>108717.37529078021</v>
      </c>
    </row>
    <row r="12" spans="1:3" x14ac:dyDescent="0.3">
      <c r="A12" t="s">
        <v>40</v>
      </c>
      <c r="B12" s="4">
        <f>FV(Inputs!B17/12, Inputs!B21*12, -Inputs!B15, -Inputs!B12)</f>
        <v>109585.2820538525</v>
      </c>
    </row>
    <row r="13" spans="1:3" x14ac:dyDescent="0.3">
      <c r="A13" t="s">
        <v>41</v>
      </c>
      <c r="B13" s="4">
        <f>B11+B12</f>
        <v>218302.65734463272</v>
      </c>
    </row>
    <row r="14" spans="1:3" x14ac:dyDescent="0.3">
      <c r="A14" t="s">
        <v>42</v>
      </c>
      <c r="B14" s="4">
        <f>(Inputs!B12+Inputs!B13)*Inputs!B23</f>
        <v>60600000000</v>
      </c>
    </row>
    <row r="15" spans="1:3" x14ac:dyDescent="0.3">
      <c r="A15" t="s">
        <v>43</v>
      </c>
      <c r="B15" s="4">
        <f>FV(Inputs!B24, Inputs!B21, B14, -Inputs!B22)</f>
        <v>-3844444653397.1548</v>
      </c>
    </row>
    <row r="16" spans="1:3" x14ac:dyDescent="0.3">
      <c r="A16" t="s">
        <v>44</v>
      </c>
      <c r="B16" s="4">
        <f>B5+B10+B13+B15</f>
        <v>21589633324836.164</v>
      </c>
    </row>
    <row r="17" spans="1:2" x14ac:dyDescent="0.3">
      <c r="A17" t="s">
        <v>45</v>
      </c>
      <c r="B17" s="4">
        <f>Inputs!B26*(1+Inputs!B17)^Inputs!B21</f>
        <v>129540.25967107079</v>
      </c>
    </row>
    <row r="18" spans="1:2" x14ac:dyDescent="0.3">
      <c r="A18" t="s">
        <v>46</v>
      </c>
      <c r="B18" s="4">
        <f>B17/Inputs!B19</f>
        <v>3238506.4917767695</v>
      </c>
    </row>
    <row r="19" spans="1:2" x14ac:dyDescent="0.3">
      <c r="A19" t="s">
        <v>47</v>
      </c>
      <c r="B19" s="4">
        <f>B16-B18</f>
        <v>21589630086329.672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selection activeCell="B2" sqref="B2"/>
    </sheetView>
  </sheetViews>
  <sheetFormatPr defaultRowHeight="14.4" x14ac:dyDescent="0.3"/>
  <cols>
    <col min="1" max="1" width="15" customWidth="1"/>
    <col min="2" max="2" width="24" customWidth="1"/>
    <col min="3" max="3" width="17.44140625" bestFit="1" customWidth="1"/>
    <col min="4" max="4" width="27" customWidth="1"/>
    <col min="5" max="5" width="18.88671875" bestFit="1" customWidth="1"/>
  </cols>
  <sheetData>
    <row r="1" spans="1:5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>
        <f>Inputs!B3+1</f>
        <v>45</v>
      </c>
      <c r="B2" s="2">
        <f>Inputs!B12*Inputs!B14</f>
        <v>2232000000</v>
      </c>
      <c r="C2" s="2">
        <f t="shared" ref="C2:C32" si="0">IF(B2&lt;=18200,0,IF(B2&lt;=45000,(B2-18200)*0.19,IF(B2&lt;=120000,5092+(B2-45000)*0.325,IF(B2&lt;=180000,29467+(B2-120000)*0.37,51667+(B2-180000)*0.45))))</f>
        <v>1004370667</v>
      </c>
      <c r="D2" t="str">
        <f t="shared" ref="D2:D32" si="1">IF(B2&lt;67500,"Yes","No")</f>
        <v>No</v>
      </c>
      <c r="E2">
        <f>IF(D2="Yes",Inputs!B28*(1+Inputs!B17)^1,0)</f>
        <v>0</v>
      </c>
    </row>
    <row r="3" spans="1:5" x14ac:dyDescent="0.3">
      <c r="A3">
        <f>Inputs!B3+2</f>
        <v>46</v>
      </c>
      <c r="B3" s="2">
        <f>Inputs!B12*Inputs!B14</f>
        <v>2232000000</v>
      </c>
      <c r="C3" s="2">
        <f t="shared" si="0"/>
        <v>1004370667</v>
      </c>
      <c r="D3" t="str">
        <f t="shared" si="1"/>
        <v>No</v>
      </c>
      <c r="E3">
        <f>IF(D3="Yes",Inputs!B28*(1+Inputs!B17)^2,0)</f>
        <v>0</v>
      </c>
    </row>
    <row r="4" spans="1:5" x14ac:dyDescent="0.3">
      <c r="A4">
        <f>Inputs!B3+3</f>
        <v>47</v>
      </c>
      <c r="B4" s="2">
        <f>Inputs!B12*Inputs!B14</f>
        <v>2232000000</v>
      </c>
      <c r="C4" s="2">
        <f t="shared" si="0"/>
        <v>1004370667</v>
      </c>
      <c r="D4" t="str">
        <f t="shared" si="1"/>
        <v>No</v>
      </c>
      <c r="E4">
        <f>IF(D4="Yes",Inputs!B28*(1+Inputs!B17)^3,0)</f>
        <v>0</v>
      </c>
    </row>
    <row r="5" spans="1:5" x14ac:dyDescent="0.3">
      <c r="A5">
        <f>Inputs!B3+4</f>
        <v>48</v>
      </c>
      <c r="B5" s="2">
        <f>Inputs!B12*Inputs!B14</f>
        <v>2232000000</v>
      </c>
      <c r="C5" s="2">
        <f t="shared" si="0"/>
        <v>1004370667</v>
      </c>
      <c r="D5" t="str">
        <f t="shared" si="1"/>
        <v>No</v>
      </c>
      <c r="E5">
        <f>IF(D5="Yes",Inputs!B28*(1+Inputs!B17)^4,0)</f>
        <v>0</v>
      </c>
    </row>
    <row r="6" spans="1:5" x14ac:dyDescent="0.3">
      <c r="A6">
        <f>Inputs!B3+5</f>
        <v>49</v>
      </c>
      <c r="B6" s="2">
        <f>Inputs!B12*Inputs!B14</f>
        <v>2232000000</v>
      </c>
      <c r="C6" s="2">
        <f t="shared" si="0"/>
        <v>1004370667</v>
      </c>
      <c r="D6" t="str">
        <f t="shared" si="1"/>
        <v>No</v>
      </c>
      <c r="E6">
        <f>IF(D6="Yes",Inputs!B28*(1+Inputs!B17)^5,0)</f>
        <v>0</v>
      </c>
    </row>
    <row r="7" spans="1:5" x14ac:dyDescent="0.3">
      <c r="A7">
        <f>Inputs!B3+6</f>
        <v>50</v>
      </c>
      <c r="B7" s="2">
        <f>Inputs!B12*Inputs!B14</f>
        <v>2232000000</v>
      </c>
      <c r="C7" s="2">
        <f t="shared" si="0"/>
        <v>1004370667</v>
      </c>
      <c r="D7" t="str">
        <f t="shared" si="1"/>
        <v>No</v>
      </c>
      <c r="E7">
        <f>IF(D7="Yes",Inputs!B28*(1+Inputs!B17)^6,0)</f>
        <v>0</v>
      </c>
    </row>
    <row r="8" spans="1:5" x14ac:dyDescent="0.3">
      <c r="A8">
        <f>Inputs!B3+7</f>
        <v>51</v>
      </c>
      <c r="B8" s="2">
        <f>Inputs!B12*Inputs!B14</f>
        <v>2232000000</v>
      </c>
      <c r="C8" s="2">
        <f t="shared" si="0"/>
        <v>1004370667</v>
      </c>
      <c r="D8" t="str">
        <f t="shared" si="1"/>
        <v>No</v>
      </c>
      <c r="E8">
        <f>IF(D8="Yes",Inputs!B28*(1+Inputs!B17)^7,0)</f>
        <v>0</v>
      </c>
    </row>
    <row r="9" spans="1:5" x14ac:dyDescent="0.3">
      <c r="A9">
        <f>Inputs!B3+8</f>
        <v>52</v>
      </c>
      <c r="B9" s="2">
        <f>Inputs!B12*Inputs!B14</f>
        <v>2232000000</v>
      </c>
      <c r="C9" s="2">
        <f t="shared" si="0"/>
        <v>1004370667</v>
      </c>
      <c r="D9" t="str">
        <f t="shared" si="1"/>
        <v>No</v>
      </c>
      <c r="E9">
        <f>IF(D9="Yes",Inputs!B28*(1+Inputs!B17)^8,0)</f>
        <v>0</v>
      </c>
    </row>
    <row r="10" spans="1:5" x14ac:dyDescent="0.3">
      <c r="A10">
        <f>Inputs!B3+9</f>
        <v>53</v>
      </c>
      <c r="B10" s="2">
        <f>Inputs!B12*Inputs!B14</f>
        <v>2232000000</v>
      </c>
      <c r="C10" s="2">
        <f t="shared" si="0"/>
        <v>1004370667</v>
      </c>
      <c r="D10" t="str">
        <f t="shared" si="1"/>
        <v>No</v>
      </c>
      <c r="E10">
        <f>IF(D10="Yes",Inputs!B28*(1+Inputs!B17)^9,0)</f>
        <v>0</v>
      </c>
    </row>
    <row r="11" spans="1:5" x14ac:dyDescent="0.3">
      <c r="A11">
        <f>Inputs!B3+10</f>
        <v>54</v>
      </c>
      <c r="B11" s="2">
        <f>Inputs!B12*Inputs!B14</f>
        <v>2232000000</v>
      </c>
      <c r="C11" s="2">
        <f t="shared" si="0"/>
        <v>1004370667</v>
      </c>
      <c r="D11" t="str">
        <f t="shared" si="1"/>
        <v>No</v>
      </c>
      <c r="E11">
        <f>IF(D11="Yes",Inputs!B28*(1+Inputs!B17)^10,0)</f>
        <v>0</v>
      </c>
    </row>
    <row r="12" spans="1:5" x14ac:dyDescent="0.3">
      <c r="A12">
        <f>Inputs!B3+11</f>
        <v>55</v>
      </c>
      <c r="B12" s="2">
        <f>Inputs!B12*Inputs!B14</f>
        <v>2232000000</v>
      </c>
      <c r="C12" s="2">
        <f t="shared" si="0"/>
        <v>1004370667</v>
      </c>
      <c r="D12" t="str">
        <f t="shared" si="1"/>
        <v>No</v>
      </c>
      <c r="E12">
        <f>IF(D12="Yes",Inputs!B28*(1+Inputs!B17)^11,0)</f>
        <v>0</v>
      </c>
    </row>
    <row r="13" spans="1:5" x14ac:dyDescent="0.3">
      <c r="A13">
        <f>Inputs!B3+12</f>
        <v>56</v>
      </c>
      <c r="B13" s="2">
        <f>Inputs!B12*Inputs!B14</f>
        <v>2232000000</v>
      </c>
      <c r="C13" s="2">
        <f t="shared" si="0"/>
        <v>1004370667</v>
      </c>
      <c r="D13" t="str">
        <f t="shared" si="1"/>
        <v>No</v>
      </c>
      <c r="E13">
        <f>IF(D13="Yes",Inputs!B28*(1+Inputs!B17)^12,0)</f>
        <v>0</v>
      </c>
    </row>
    <row r="14" spans="1:5" x14ac:dyDescent="0.3">
      <c r="A14">
        <f>Inputs!B3+13</f>
        <v>57</v>
      </c>
      <c r="B14" s="2">
        <f>Inputs!B12*Inputs!B14</f>
        <v>2232000000</v>
      </c>
      <c r="C14" s="2">
        <f t="shared" si="0"/>
        <v>1004370667</v>
      </c>
      <c r="D14" t="str">
        <f t="shared" si="1"/>
        <v>No</v>
      </c>
      <c r="E14">
        <f>IF(D14="Yes",Inputs!B28*(1+Inputs!B17)^13,0)</f>
        <v>0</v>
      </c>
    </row>
    <row r="15" spans="1:5" x14ac:dyDescent="0.3">
      <c r="A15">
        <f>Inputs!B3+14</f>
        <v>58</v>
      </c>
      <c r="B15" s="2">
        <f>Inputs!B12*Inputs!B14</f>
        <v>2232000000</v>
      </c>
      <c r="C15" s="2">
        <f t="shared" si="0"/>
        <v>1004370667</v>
      </c>
      <c r="D15" t="str">
        <f t="shared" si="1"/>
        <v>No</v>
      </c>
      <c r="E15">
        <f>IF(D15="Yes",Inputs!B28*(1+Inputs!B17)^14,0)</f>
        <v>0</v>
      </c>
    </row>
    <row r="16" spans="1:5" x14ac:dyDescent="0.3">
      <c r="A16">
        <f>Inputs!B3+15</f>
        <v>59</v>
      </c>
      <c r="B16" s="2">
        <f>Inputs!B12*Inputs!B14</f>
        <v>2232000000</v>
      </c>
      <c r="C16" s="2">
        <f t="shared" si="0"/>
        <v>1004370667</v>
      </c>
      <c r="D16" t="str">
        <f t="shared" si="1"/>
        <v>No</v>
      </c>
      <c r="E16">
        <f>IF(D16="Yes",Inputs!B28*(1+Inputs!B17)^15,0)</f>
        <v>0</v>
      </c>
    </row>
    <row r="17" spans="1:5" x14ac:dyDescent="0.3">
      <c r="A17">
        <f>Inputs!B3+16</f>
        <v>60</v>
      </c>
      <c r="B17" s="2">
        <f>Inputs!B12*Inputs!B14</f>
        <v>2232000000</v>
      </c>
      <c r="C17" s="2">
        <f t="shared" si="0"/>
        <v>1004370667</v>
      </c>
      <c r="D17" t="str">
        <f t="shared" si="1"/>
        <v>No</v>
      </c>
      <c r="E17">
        <f>IF(D17="Yes",Inputs!B28*(1+Inputs!B17)^16,0)</f>
        <v>0</v>
      </c>
    </row>
    <row r="18" spans="1:5" x14ac:dyDescent="0.3">
      <c r="A18">
        <f>Inputs!B3+17</f>
        <v>61</v>
      </c>
      <c r="B18" s="2">
        <f>Inputs!B12*Inputs!B14</f>
        <v>2232000000</v>
      </c>
      <c r="C18" s="2">
        <f t="shared" si="0"/>
        <v>1004370667</v>
      </c>
      <c r="D18" t="str">
        <f t="shared" si="1"/>
        <v>No</v>
      </c>
      <c r="E18">
        <f>IF(D18="Yes",Inputs!B28*(1+Inputs!B17)^17,0)</f>
        <v>0</v>
      </c>
    </row>
    <row r="19" spans="1:5" x14ac:dyDescent="0.3">
      <c r="A19">
        <f>Inputs!B3+18</f>
        <v>62</v>
      </c>
      <c r="B19" s="2">
        <f>Inputs!B12*Inputs!B14</f>
        <v>2232000000</v>
      </c>
      <c r="C19" s="2">
        <f t="shared" si="0"/>
        <v>1004370667</v>
      </c>
      <c r="D19" t="str">
        <f t="shared" si="1"/>
        <v>No</v>
      </c>
      <c r="E19">
        <f>IF(D19="Yes",Inputs!B28*(1+Inputs!B17)^18,0)</f>
        <v>0</v>
      </c>
    </row>
    <row r="20" spans="1:5" x14ac:dyDescent="0.3">
      <c r="A20">
        <f>Inputs!B3+19</f>
        <v>63</v>
      </c>
      <c r="B20" s="2">
        <f>Inputs!B12*Inputs!B14</f>
        <v>2232000000</v>
      </c>
      <c r="C20" s="2">
        <f t="shared" si="0"/>
        <v>1004370667</v>
      </c>
      <c r="D20" t="str">
        <f t="shared" si="1"/>
        <v>No</v>
      </c>
      <c r="E20">
        <f>IF(D20="Yes",Inputs!B28*(1+Inputs!B17)^19,0)</f>
        <v>0</v>
      </c>
    </row>
    <row r="21" spans="1:5" x14ac:dyDescent="0.3">
      <c r="A21">
        <f>Inputs!B3+20</f>
        <v>64</v>
      </c>
      <c r="B21" s="2">
        <f>Inputs!B12*Inputs!B14</f>
        <v>2232000000</v>
      </c>
      <c r="C21" s="2">
        <f t="shared" si="0"/>
        <v>1004370667</v>
      </c>
      <c r="D21" t="str">
        <f t="shared" si="1"/>
        <v>No</v>
      </c>
      <c r="E21">
        <f>IF(D21="Yes",Inputs!B28*(1+Inputs!B17)^20,0)</f>
        <v>0</v>
      </c>
    </row>
    <row r="22" spans="1:5" x14ac:dyDescent="0.3">
      <c r="A22">
        <f>Inputs!B3+21</f>
        <v>65</v>
      </c>
      <c r="B22" s="2">
        <f>Inputs!B12*Inputs!B14</f>
        <v>2232000000</v>
      </c>
      <c r="C22" s="2">
        <f t="shared" si="0"/>
        <v>1004370667</v>
      </c>
      <c r="D22" t="str">
        <f t="shared" si="1"/>
        <v>No</v>
      </c>
      <c r="E22">
        <f>IF(D22="Yes",Inputs!B28*(1+Inputs!B17)^21,0)</f>
        <v>0</v>
      </c>
    </row>
    <row r="23" spans="1:5" x14ac:dyDescent="0.3">
      <c r="A23">
        <f>Inputs!B3+22</f>
        <v>66</v>
      </c>
      <c r="B23" s="2">
        <f>Inputs!B12*Inputs!B14</f>
        <v>2232000000</v>
      </c>
      <c r="C23" s="2">
        <f t="shared" si="0"/>
        <v>1004370667</v>
      </c>
      <c r="D23" t="str">
        <f t="shared" si="1"/>
        <v>No</v>
      </c>
      <c r="E23">
        <f>IF(D23="Yes",Inputs!B28*(1+Inputs!B17)^22,0)</f>
        <v>0</v>
      </c>
    </row>
    <row r="24" spans="1:5" x14ac:dyDescent="0.3">
      <c r="A24">
        <f>Inputs!B3+23</f>
        <v>67</v>
      </c>
      <c r="B24" s="2">
        <f>Inputs!B12*Inputs!B14</f>
        <v>2232000000</v>
      </c>
      <c r="C24" s="2">
        <f t="shared" si="0"/>
        <v>1004370667</v>
      </c>
      <c r="D24" t="str">
        <f t="shared" si="1"/>
        <v>No</v>
      </c>
      <c r="E24">
        <f>IF(D24="Yes",Inputs!B28*(1+Inputs!B17)^23,0)</f>
        <v>0</v>
      </c>
    </row>
    <row r="25" spans="1:5" x14ac:dyDescent="0.3">
      <c r="A25">
        <f>Inputs!B3+24</f>
        <v>68</v>
      </c>
      <c r="B25" s="2">
        <f>Inputs!B12*Inputs!B14</f>
        <v>2232000000</v>
      </c>
      <c r="C25" s="2">
        <f t="shared" si="0"/>
        <v>1004370667</v>
      </c>
      <c r="D25" t="str">
        <f t="shared" si="1"/>
        <v>No</v>
      </c>
      <c r="E25">
        <f>IF(D25="Yes",Inputs!B28*(1+Inputs!B17)^24,0)</f>
        <v>0</v>
      </c>
    </row>
    <row r="26" spans="1:5" x14ac:dyDescent="0.3">
      <c r="A26">
        <f>Inputs!B3+25</f>
        <v>69</v>
      </c>
      <c r="B26" s="2">
        <f>Inputs!B12*Inputs!B14</f>
        <v>2232000000</v>
      </c>
      <c r="C26" s="2">
        <f t="shared" si="0"/>
        <v>1004370667</v>
      </c>
      <c r="D26" t="str">
        <f t="shared" si="1"/>
        <v>No</v>
      </c>
      <c r="E26">
        <f>IF(D26="Yes",Inputs!B28*(1+Inputs!B17)^25,0)</f>
        <v>0</v>
      </c>
    </row>
    <row r="27" spans="1:5" x14ac:dyDescent="0.3">
      <c r="A27">
        <f>Inputs!B3+26</f>
        <v>70</v>
      </c>
      <c r="B27" s="2">
        <f>Inputs!B12*Inputs!B14</f>
        <v>2232000000</v>
      </c>
      <c r="C27" s="2">
        <f t="shared" si="0"/>
        <v>1004370667</v>
      </c>
      <c r="D27" t="str">
        <f t="shared" si="1"/>
        <v>No</v>
      </c>
      <c r="E27">
        <f>IF(D27="Yes",Inputs!B28*(1+Inputs!B17)^26,0)</f>
        <v>0</v>
      </c>
    </row>
    <row r="28" spans="1:5" x14ac:dyDescent="0.3">
      <c r="A28">
        <f>Inputs!B3+27</f>
        <v>71</v>
      </c>
      <c r="B28" s="2">
        <f>Inputs!B12*Inputs!B14</f>
        <v>2232000000</v>
      </c>
      <c r="C28" s="2">
        <f t="shared" si="0"/>
        <v>1004370667</v>
      </c>
      <c r="D28" t="str">
        <f t="shared" si="1"/>
        <v>No</v>
      </c>
      <c r="E28">
        <f>IF(D28="Yes",Inputs!B28*(1+Inputs!B17)^27,0)</f>
        <v>0</v>
      </c>
    </row>
    <row r="29" spans="1:5" x14ac:dyDescent="0.3">
      <c r="A29">
        <f>Inputs!B3+28</f>
        <v>72</v>
      </c>
      <c r="B29" s="2">
        <f>Inputs!B12*Inputs!B14</f>
        <v>2232000000</v>
      </c>
      <c r="C29" s="2">
        <f t="shared" si="0"/>
        <v>1004370667</v>
      </c>
      <c r="D29" t="str">
        <f t="shared" si="1"/>
        <v>No</v>
      </c>
      <c r="E29">
        <f>IF(D29="Yes",Inputs!B28*(1+Inputs!B17)^28,0)</f>
        <v>0</v>
      </c>
    </row>
    <row r="30" spans="1:5" x14ac:dyDescent="0.3">
      <c r="A30">
        <f>Inputs!B3+29</f>
        <v>73</v>
      </c>
      <c r="B30" s="2">
        <f>Inputs!B12*Inputs!B14</f>
        <v>2232000000</v>
      </c>
      <c r="C30" s="2">
        <f t="shared" si="0"/>
        <v>1004370667</v>
      </c>
      <c r="D30" t="str">
        <f t="shared" si="1"/>
        <v>No</v>
      </c>
      <c r="E30">
        <f>IF(D30="Yes",Inputs!B28*(1+Inputs!B17)^29,0)</f>
        <v>0</v>
      </c>
    </row>
    <row r="31" spans="1:5" x14ac:dyDescent="0.3">
      <c r="A31">
        <f>Inputs!B3+30</f>
        <v>74</v>
      </c>
      <c r="B31" s="2">
        <f>Inputs!B12*Inputs!B14</f>
        <v>2232000000</v>
      </c>
      <c r="C31" s="2">
        <f t="shared" si="0"/>
        <v>1004370667</v>
      </c>
      <c r="D31" t="str">
        <f t="shared" si="1"/>
        <v>No</v>
      </c>
      <c r="E31">
        <f>IF(D31="Yes",Inputs!B28*(1+Inputs!B17)^30,0)</f>
        <v>0</v>
      </c>
    </row>
    <row r="32" spans="1:5" x14ac:dyDescent="0.3">
      <c r="A32">
        <f>Inputs!B3+31</f>
        <v>75</v>
      </c>
      <c r="B32" s="2">
        <f>Inputs!B12*Inputs!B14</f>
        <v>2232000000</v>
      </c>
      <c r="C32" s="2">
        <f t="shared" si="0"/>
        <v>1004370667</v>
      </c>
      <c r="D32" t="str">
        <f t="shared" si="1"/>
        <v>No</v>
      </c>
      <c r="E32">
        <f>IF(D32="Yes",Inputs!B28*(1+Inputs!B17)^31,0)</f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selection activeCell="C8" sqref="C8"/>
    </sheetView>
  </sheetViews>
  <sheetFormatPr defaultRowHeight="14.4" x14ac:dyDescent="0.3"/>
  <cols>
    <col min="1" max="1" width="31" customWidth="1"/>
    <col min="2" max="2" width="11" customWidth="1"/>
    <col min="3" max="3" width="17" customWidth="1"/>
    <col min="4" max="4" width="18" customWidth="1"/>
  </cols>
  <sheetData>
    <row r="1" spans="1:4" x14ac:dyDescent="0.3">
      <c r="A1" s="1" t="s">
        <v>48</v>
      </c>
      <c r="B1" s="1" t="s">
        <v>53</v>
      </c>
      <c r="C1" s="1" t="s">
        <v>54</v>
      </c>
      <c r="D1" s="1" t="s">
        <v>55</v>
      </c>
    </row>
    <row r="2" spans="1:4" x14ac:dyDescent="0.3">
      <c r="A2">
        <f>Inputs!B13*(1+Inputs!B18)^1</f>
        <v>149800</v>
      </c>
      <c r="B2">
        <f ca="1">B2*0.04</f>
        <v>0</v>
      </c>
      <c r="C2" t="str">
        <f t="shared" ref="C2:C32" ca="1" si="0">B2+C2</f>
        <v/>
      </c>
    </row>
    <row r="3" spans="1:4" x14ac:dyDescent="0.3">
      <c r="A3">
        <f>Inputs!B13*(1+Inputs!B18)^2</f>
        <v>160286</v>
      </c>
      <c r="B3" t="str">
        <f t="shared" ref="B2:B32" ca="1" si="1">B3*0.04</f>
        <v/>
      </c>
      <c r="C3" t="str">
        <f t="shared" ca="1" si="0"/>
        <v/>
      </c>
    </row>
    <row r="4" spans="1:4" x14ac:dyDescent="0.3">
      <c r="A4">
        <f>Inputs!B13*(1+Inputs!B18)^3</f>
        <v>171506.02000000002</v>
      </c>
      <c r="B4" t="str">
        <f t="shared" ca="1" si="1"/>
        <v/>
      </c>
      <c r="C4">
        <f ca="1">B4+C4</f>
        <v>0</v>
      </c>
    </row>
    <row r="5" spans="1:4" x14ac:dyDescent="0.3">
      <c r="A5">
        <f>Inputs!B13*(1+Inputs!B18)^4</f>
        <v>183511.44140000001</v>
      </c>
      <c r="B5" t="str">
        <f t="shared" ca="1" si="1"/>
        <v/>
      </c>
      <c r="C5" t="str">
        <f t="shared" ca="1" si="0"/>
        <v/>
      </c>
    </row>
    <row r="6" spans="1:4" x14ac:dyDescent="0.3">
      <c r="A6">
        <f>Inputs!B13*(1+Inputs!B18)^5</f>
        <v>196357.24229800003</v>
      </c>
      <c r="B6" t="str">
        <f t="shared" ca="1" si="1"/>
        <v/>
      </c>
      <c r="C6" t="str">
        <f t="shared" ca="1" si="0"/>
        <v/>
      </c>
    </row>
    <row r="7" spans="1:4" x14ac:dyDescent="0.3">
      <c r="A7">
        <f>Inputs!B13*(1+Inputs!B18)^6</f>
        <v>210102.24925886001</v>
      </c>
      <c r="B7" t="str">
        <f t="shared" ca="1" si="1"/>
        <v/>
      </c>
      <c r="C7" t="str">
        <f t="shared" ca="1" si="0"/>
        <v/>
      </c>
    </row>
    <row r="8" spans="1:4" x14ac:dyDescent="0.3">
      <c r="A8">
        <f>Inputs!B13*(1+Inputs!B18)^7</f>
        <v>224809.40670698023</v>
      </c>
      <c r="B8" t="str">
        <f t="shared" ca="1" si="1"/>
        <v/>
      </c>
      <c r="C8" t="str">
        <f t="shared" ca="1" si="0"/>
        <v/>
      </c>
    </row>
    <row r="9" spans="1:4" x14ac:dyDescent="0.3">
      <c r="A9">
        <f>Inputs!B13*(1+Inputs!B18)^8</f>
        <v>240546.06517646884</v>
      </c>
      <c r="B9" t="str">
        <f t="shared" ca="1" si="1"/>
        <v/>
      </c>
      <c r="C9" t="str">
        <f t="shared" ca="1" si="0"/>
        <v/>
      </c>
    </row>
    <row r="10" spans="1:4" x14ac:dyDescent="0.3">
      <c r="A10">
        <f>Inputs!B13*(1+Inputs!B18)^9</f>
        <v>257384.28973882168</v>
      </c>
      <c r="B10" t="str">
        <f t="shared" ca="1" si="1"/>
        <v/>
      </c>
      <c r="C10" t="str">
        <f t="shared" ca="1" si="0"/>
        <v/>
      </c>
    </row>
    <row r="11" spans="1:4" x14ac:dyDescent="0.3">
      <c r="A11">
        <f>Inputs!B13*(1+Inputs!B18)^10</f>
        <v>275401.19002053916</v>
      </c>
      <c r="B11" t="str">
        <f t="shared" ca="1" si="1"/>
        <v/>
      </c>
      <c r="C11" t="str">
        <f t="shared" ca="1" si="0"/>
        <v/>
      </c>
    </row>
    <row r="12" spans="1:4" x14ac:dyDescent="0.3">
      <c r="A12">
        <f>Inputs!B13*(1+Inputs!B18)^11</f>
        <v>294679.27332197694</v>
      </c>
      <c r="B12" t="str">
        <f t="shared" ca="1" si="1"/>
        <v/>
      </c>
      <c r="C12" t="str">
        <f t="shared" ca="1" si="0"/>
        <v/>
      </c>
    </row>
    <row r="13" spans="1:4" x14ac:dyDescent="0.3">
      <c r="A13">
        <f>Inputs!B13*(1+Inputs!B18)^12</f>
        <v>315306.82245451526</v>
      </c>
      <c r="B13" t="str">
        <f t="shared" ca="1" si="1"/>
        <v/>
      </c>
      <c r="C13" t="str">
        <f t="shared" ca="1" si="0"/>
        <v/>
      </c>
    </row>
    <row r="14" spans="1:4" x14ac:dyDescent="0.3">
      <c r="A14">
        <f>Inputs!B13*(1+Inputs!B18)^13</f>
        <v>337378.30002633139</v>
      </c>
      <c r="B14" t="str">
        <f t="shared" ca="1" si="1"/>
        <v/>
      </c>
      <c r="C14" t="str">
        <f t="shared" ca="1" si="0"/>
        <v/>
      </c>
    </row>
    <row r="15" spans="1:4" x14ac:dyDescent="0.3">
      <c r="A15">
        <f>Inputs!B13*(1+Inputs!B18)^14</f>
        <v>360994.78102817456</v>
      </c>
      <c r="B15" t="str">
        <f t="shared" ca="1" si="1"/>
        <v/>
      </c>
      <c r="C15" t="str">
        <f t="shared" ca="1" si="0"/>
        <v/>
      </c>
    </row>
    <row r="16" spans="1:4" x14ac:dyDescent="0.3">
      <c r="A16">
        <f>Inputs!B13*(1+Inputs!B18)^15</f>
        <v>386264.41570014681</v>
      </c>
      <c r="B16" t="str">
        <f t="shared" ca="1" si="1"/>
        <v/>
      </c>
      <c r="C16" t="str">
        <f t="shared" ca="1" si="0"/>
        <v/>
      </c>
    </row>
    <row r="17" spans="1:3" x14ac:dyDescent="0.3">
      <c r="A17">
        <f>Inputs!B13*(1+Inputs!B18)^16</f>
        <v>413302.92479915707</v>
      </c>
      <c r="B17" t="str">
        <f t="shared" ca="1" si="1"/>
        <v/>
      </c>
      <c r="C17" t="str">
        <f t="shared" ca="1" si="0"/>
        <v/>
      </c>
    </row>
    <row r="18" spans="1:3" x14ac:dyDescent="0.3">
      <c r="A18">
        <f>Inputs!B13*(1+Inputs!B18)^17</f>
        <v>442234.12953509804</v>
      </c>
      <c r="B18" t="str">
        <f t="shared" ca="1" si="1"/>
        <v/>
      </c>
      <c r="C18" t="str">
        <f t="shared" ca="1" si="0"/>
        <v/>
      </c>
    </row>
    <row r="19" spans="1:3" x14ac:dyDescent="0.3">
      <c r="A19">
        <f>Inputs!B13*(1+Inputs!B18)^18</f>
        <v>473190.51860255492</v>
      </c>
      <c r="B19" t="str">
        <f t="shared" ca="1" si="1"/>
        <v/>
      </c>
      <c r="C19" t="str">
        <f t="shared" ca="1" si="0"/>
        <v/>
      </c>
    </row>
    <row r="20" spans="1:3" x14ac:dyDescent="0.3">
      <c r="A20">
        <f>Inputs!B13*(1+Inputs!B18)^19</f>
        <v>506313.85490473377</v>
      </c>
      <c r="B20" t="str">
        <f t="shared" ca="1" si="1"/>
        <v/>
      </c>
      <c r="C20" t="str">
        <f t="shared" ca="1" si="0"/>
        <v/>
      </c>
    </row>
    <row r="21" spans="1:3" x14ac:dyDescent="0.3">
      <c r="A21">
        <f>Inputs!B13*(1+Inputs!B18)^20</f>
        <v>541755.82474806509</v>
      </c>
      <c r="B21" t="str">
        <f t="shared" ca="1" si="1"/>
        <v/>
      </c>
      <c r="C21" t="str">
        <f t="shared" ca="1" si="0"/>
        <v/>
      </c>
    </row>
    <row r="22" spans="1:3" x14ac:dyDescent="0.3">
      <c r="A22">
        <f>Inputs!B13*(1+Inputs!B18)^21</f>
        <v>579678.73248042969</v>
      </c>
      <c r="B22" t="str">
        <f t="shared" ca="1" si="1"/>
        <v/>
      </c>
      <c r="C22" t="str">
        <f t="shared" ca="1" si="0"/>
        <v/>
      </c>
    </row>
    <row r="23" spans="1:3" x14ac:dyDescent="0.3">
      <c r="A23">
        <f>Inputs!B13*(1+Inputs!B18)^22</f>
        <v>620256.24375405977</v>
      </c>
      <c r="B23" t="str">
        <f t="shared" ca="1" si="1"/>
        <v/>
      </c>
      <c r="C23" t="str">
        <f t="shared" ca="1" si="0"/>
        <v/>
      </c>
    </row>
    <row r="24" spans="1:3" x14ac:dyDescent="0.3">
      <c r="A24">
        <f>Inputs!B13*(1+Inputs!B18)^23</f>
        <v>663674.18081684399</v>
      </c>
      <c r="B24" t="str">
        <f t="shared" ca="1" si="1"/>
        <v/>
      </c>
      <c r="C24" t="str">
        <f t="shared" ca="1" si="0"/>
        <v/>
      </c>
    </row>
    <row r="25" spans="1:3" x14ac:dyDescent="0.3">
      <c r="A25">
        <f>Inputs!B13*(1+Inputs!B18)^24</f>
        <v>710131.37347402307</v>
      </c>
      <c r="B25" t="str">
        <f t="shared" ca="1" si="1"/>
        <v/>
      </c>
      <c r="C25" t="str">
        <f t="shared" ca="1" si="0"/>
        <v/>
      </c>
    </row>
    <row r="26" spans="1:3" x14ac:dyDescent="0.3">
      <c r="A26">
        <f>Inputs!B13*(1+Inputs!B18)^25</f>
        <v>759840.56961720472</v>
      </c>
      <c r="B26" t="str">
        <f t="shared" ca="1" si="1"/>
        <v/>
      </c>
      <c r="C26" t="str">
        <f t="shared" ca="1" si="0"/>
        <v/>
      </c>
    </row>
    <row r="27" spans="1:3" x14ac:dyDescent="0.3">
      <c r="A27">
        <f>Inputs!B13*(1+Inputs!B18)^26</f>
        <v>813029.40949040907</v>
      </c>
      <c r="B27" t="str">
        <f t="shared" ca="1" si="1"/>
        <v/>
      </c>
      <c r="C27" t="str">
        <f t="shared" ca="1" si="0"/>
        <v/>
      </c>
    </row>
    <row r="28" spans="1:3" x14ac:dyDescent="0.3">
      <c r="A28">
        <f>Inputs!B13*(1+Inputs!B18)^27</f>
        <v>869941.46815473784</v>
      </c>
      <c r="B28" t="str">
        <f t="shared" ca="1" si="1"/>
        <v/>
      </c>
      <c r="C28" t="str">
        <f t="shared" ca="1" si="0"/>
        <v/>
      </c>
    </row>
    <row r="29" spans="1:3" x14ac:dyDescent="0.3">
      <c r="A29">
        <f>Inputs!B13*(1+Inputs!B18)^28</f>
        <v>930837.37092556932</v>
      </c>
      <c r="B29" t="str">
        <f t="shared" ca="1" si="1"/>
        <v/>
      </c>
      <c r="C29" t="str">
        <f t="shared" ca="1" si="0"/>
        <v/>
      </c>
    </row>
    <row r="30" spans="1:3" x14ac:dyDescent="0.3">
      <c r="A30">
        <f>Inputs!B13*(1+Inputs!B18)^29</f>
        <v>995995.9868903592</v>
      </c>
      <c r="B30" t="str">
        <f t="shared" ca="1" si="1"/>
        <v/>
      </c>
      <c r="C30" t="str">
        <f t="shared" ca="1" si="0"/>
        <v/>
      </c>
    </row>
    <row r="31" spans="1:3" x14ac:dyDescent="0.3">
      <c r="A31">
        <f>Inputs!B13*(1+Inputs!B18)^30</f>
        <v>1065715.7059726843</v>
      </c>
      <c r="B31" t="str">
        <f t="shared" ca="1" si="1"/>
        <v/>
      </c>
      <c r="C31" t="str">
        <f t="shared" ca="1" si="0"/>
        <v/>
      </c>
    </row>
    <row r="32" spans="1:3" x14ac:dyDescent="0.3">
      <c r="A32">
        <f>Inputs!B13*(1+Inputs!B18)^31</f>
        <v>1140315.8053907724</v>
      </c>
      <c r="B32" t="str">
        <f t="shared" ca="1" si="1"/>
        <v/>
      </c>
      <c r="C32" t="str">
        <f t="shared" ca="1" si="0"/>
        <v/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Retirement Summary</vt:lpstr>
      <vt:lpstr>Tax &amp; Pension</vt:lpstr>
      <vt:lpstr>Investment 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Gagneet Singh</cp:lastModifiedBy>
  <dcterms:created xsi:type="dcterms:W3CDTF">2025-09-19T02:20:51Z</dcterms:created>
  <dcterms:modified xsi:type="dcterms:W3CDTF">2025-09-19T02:54:24Z</dcterms:modified>
</cp:coreProperties>
</file>