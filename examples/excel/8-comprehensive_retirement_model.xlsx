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tire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 age</t>
        </is>
      </c>
      <c r="B2" t="n">
        <v>49</v>
      </c>
    </row>
    <row r="3">
      <c r="A3" t="inlineStr">
        <is>
          <t>Partner's current age</t>
        </is>
      </c>
      <c r="B3" t="n">
        <v>44</v>
      </c>
    </row>
    <row r="4">
      <c r="A4" t="inlineStr">
        <is>
          <t>Planned retirement age</t>
        </is>
      </c>
      <c r="B4" t="n">
        <v>68</v>
      </c>
    </row>
    <row r="5">
      <c r="A5" t="inlineStr">
        <is>
          <t>Your expected lifespan</t>
        </is>
      </c>
      <c r="B5" t="n">
        <v>95</v>
      </c>
    </row>
    <row r="6">
      <c r="A6" t="inlineStr">
        <is>
          <t>Partner's expected lifespan</t>
        </is>
      </c>
      <c r="B6" t="n">
        <v>99</v>
      </c>
    </row>
    <row r="7">
      <c r="A7" t="inlineStr">
        <is>
          <t>Current home value</t>
        </is>
      </c>
      <c r="B7" t="n">
        <v>700000</v>
      </c>
    </row>
    <row r="8">
      <c r="A8" t="inlineStr">
        <is>
          <t>Outstanding mortgage</t>
        </is>
      </c>
      <c r="B8" t="n">
        <v>500000</v>
      </c>
    </row>
    <row r="9">
      <c r="A9" t="inlineStr">
        <is>
          <t>Annual mortgage rate</t>
        </is>
      </c>
      <c r="B9" t="n">
        <v>0.0527</v>
      </c>
    </row>
    <row r="10">
      <c r="A10" t="inlineStr">
        <is>
          <t>Years left on mortgage</t>
        </is>
      </c>
      <c r="B10" t="n">
        <v>26.25</v>
      </c>
    </row>
    <row r="11">
      <c r="A11" t="inlineStr">
        <is>
          <t>Current Cash/Savings</t>
        </is>
      </c>
      <c r="B11" t="n">
        <v>55000</v>
      </c>
    </row>
    <row r="12">
      <c r="A12" t="inlineStr">
        <is>
          <t>Stock portfolio</t>
        </is>
      </c>
      <c r="B12" t="n">
        <v>62000</v>
      </c>
    </row>
    <row r="13">
      <c r="A13" t="inlineStr">
        <is>
          <t>Annual salary</t>
        </is>
      </c>
      <c r="B13" t="n">
        <v>140000</v>
      </c>
    </row>
    <row r="14">
      <c r="A14" t="inlineStr">
        <is>
          <t>Partner's annual salary</t>
        </is>
      </c>
      <c r="B14" t="n">
        <v>36000</v>
      </c>
    </row>
    <row r="15">
      <c r="A15" t="inlineStr">
        <is>
          <t>% of income saved</t>
        </is>
      </c>
      <c r="B15" t="n">
        <v>0.1</v>
      </c>
    </row>
    <row r="16">
      <c r="A16" t="inlineStr">
        <is>
          <t>Monthly Stock contributions</t>
        </is>
      </c>
      <c r="B16" t="n">
        <v>1000</v>
      </c>
    </row>
    <row r="17">
      <c r="A17" t="inlineStr">
        <is>
          <t>Annual inflation</t>
        </is>
      </c>
      <c r="B17" t="n">
        <v>0.03</v>
      </c>
    </row>
    <row r="18">
      <c r="A18" t="inlineStr">
        <is>
          <t>Annual investment return</t>
        </is>
      </c>
      <c r="B18" t="n">
        <v>0.07000000000000001</v>
      </c>
    </row>
    <row r="19">
      <c r="A19" t="inlineStr">
        <is>
          <t>Return on cash/savings</t>
        </is>
      </c>
      <c r="B19" t="n">
        <v>0.04</v>
      </c>
    </row>
    <row r="20">
      <c r="A20" t="inlineStr">
        <is>
          <t>Safe withdrawal rate</t>
        </is>
      </c>
      <c r="B20" t="n">
        <v>0.04</v>
      </c>
    </row>
    <row r="21">
      <c r="A21" t="inlineStr">
        <is>
          <t>Years to Retirement</t>
        </is>
      </c>
      <c r="B21" t="n">
        <v>19</v>
      </c>
    </row>
    <row r="22">
      <c r="A22" t="inlineStr">
        <is>
          <t>Years in Retirement</t>
        </is>
      </c>
      <c r="B22" t="n">
        <v>31</v>
      </c>
    </row>
    <row r="23">
      <c r="A23" t="inlineStr">
        <is>
          <t>Current Superannuation Balance</t>
        </is>
      </c>
      <c r="B23" t="n">
        <v>300000</v>
      </c>
    </row>
    <row r="24">
      <c r="A24" t="inlineStr">
        <is>
          <t>Superannuation Contributions %</t>
        </is>
      </c>
      <c r="B24" t="n">
        <v>0.12</v>
      </c>
    </row>
    <row r="25">
      <c r="A25" t="inlineStr">
        <is>
          <t>Superannuation growth %</t>
        </is>
      </c>
      <c r="B25" t="n">
        <v>0.09</v>
      </c>
    </row>
    <row r="26">
      <c r="A26" t="inlineStr">
        <is>
          <t>ASFA Comfortable Income (2025)</t>
        </is>
      </c>
      <c r="B26" t="n">
        <v>73875</v>
      </c>
    </row>
    <row r="27">
      <c r="A27" t="inlineStr">
        <is>
          <t>Age Pension (2025)</t>
        </is>
      </c>
      <c r="B27" t="n">
        <v>45037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7" customWidth="1" min="1" max="1"/>
    <col width="61" customWidth="1" min="2" max="2"/>
    <col width="7" customWidth="1" min="3" max="3"/>
  </cols>
  <sheetData>
    <row r="1">
      <c r="A1" s="1" t="inlineStr">
        <is>
          <t>Metric</t>
        </is>
      </c>
      <c r="B1" s="1" t="inlineStr">
        <is>
          <t>Formula</t>
        </is>
      </c>
      <c r="C1" s="1" t="inlineStr">
        <is>
          <t>Value</t>
        </is>
      </c>
    </row>
    <row r="2">
      <c r="A2" t="inlineStr">
        <is>
          <t>Monthly Mortgage Payment</t>
        </is>
      </c>
      <c r="B2">
        <f>PMT(Inputs!B9/12, Inputs!B10*12, -Inputs!B8)</f>
        <v/>
      </c>
    </row>
    <row r="3">
      <c r="A3" t="inlineStr">
        <is>
          <t>Home Value at Retirement</t>
        </is>
      </c>
      <c r="B3">
        <f>Inputs!B6*(1+Inputs!B17)^Inputs!B21</f>
        <v/>
      </c>
    </row>
    <row r="4">
      <c r="A4" t="inlineStr">
        <is>
          <t>Mortgage Balance at Retirement</t>
        </is>
      </c>
      <c r="B4">
        <f>FV(Inputs!B9/12, Inputs!B21*12, Inputs!B8, 0)</f>
        <v/>
      </c>
    </row>
    <row r="5">
      <c r="A5" t="inlineStr">
        <is>
          <t>Net Home Equity at Retirement</t>
        </is>
      </c>
      <c r="B5">
        <f>B2-B3</f>
        <v/>
      </c>
    </row>
    <row r="6">
      <c r="A6" t="inlineStr">
        <is>
          <t>Current Combined Salary</t>
        </is>
      </c>
      <c r="B6">
        <f>Inputs!B12+Inputs!B13</f>
        <v/>
      </c>
    </row>
    <row r="7">
      <c r="A7" t="inlineStr">
        <is>
          <t>Current Annual Savings Contribution</t>
        </is>
      </c>
      <c r="B7">
        <f>B4*Inputs!B14</f>
        <v/>
      </c>
    </row>
    <row r="8">
      <c r="A8" t="inlineStr">
        <is>
          <t>Future Value of Current Savings</t>
        </is>
      </c>
      <c r="B8">
        <f>Inputs!B11*(1+Inputs!B18)^Inputs!B21</f>
        <v/>
      </c>
    </row>
    <row r="9">
      <c r="A9" t="inlineStr">
        <is>
          <t>Future Value of Ongoing Savings Contributions</t>
        </is>
      </c>
      <c r="B9">
        <f>FV(Inputs!B18, Inputs!B21, B6, B7)</f>
        <v/>
      </c>
    </row>
    <row r="10">
      <c r="A10" t="inlineStr">
        <is>
          <t>Total Future Savings</t>
        </is>
      </c>
      <c r="B10">
        <f>B8+B9</f>
        <v/>
      </c>
    </row>
    <row r="11">
      <c r="A11" t="inlineStr">
        <is>
          <t>Future Value of Current Stock Portfolio</t>
        </is>
      </c>
      <c r="B11">
        <f>Inputs!B12*(1+Inputs!B17)^Inputs!B21</f>
        <v/>
      </c>
    </row>
    <row r="12">
      <c r="A12" t="inlineStr">
        <is>
          <t>Future Value of Monthly Stock Investments</t>
        </is>
      </c>
      <c r="B12">
        <f>FV(Inputs!B17/12, Inputs!B21*12, -Inputs!B15, -Inputs!B12)</f>
        <v/>
      </c>
    </row>
    <row r="13">
      <c r="A13" t="inlineStr">
        <is>
          <t>Total Future Stock Portfolio</t>
        </is>
      </c>
      <c r="B13">
        <f>B11+B12</f>
        <v/>
      </c>
    </row>
    <row r="14">
      <c r="A14" t="inlineStr">
        <is>
          <t>Superannuation Contributions</t>
        </is>
      </c>
      <c r="B14">
        <f>(Inputs!B12+Inputs!B13)*Inputs!B23</f>
        <v/>
      </c>
    </row>
    <row r="15">
      <c r="A15" t="inlineStr">
        <is>
          <t>Future Value of Superannuation</t>
        </is>
      </c>
      <c r="B15">
        <f>FV(Inputs!B24, Inputs!B21, B14, -Inputs!B22)</f>
        <v/>
      </c>
    </row>
    <row r="16">
      <c r="A16" t="inlineStr">
        <is>
          <t>Total Assets at Retirement</t>
        </is>
      </c>
      <c r="B16">
        <f>B5+B10+B13+B15</f>
        <v/>
      </c>
    </row>
    <row r="17">
      <c r="A17" t="inlineStr">
        <is>
          <t>Required Annual Income in Retirement</t>
        </is>
      </c>
      <c r="B17">
        <f>Inputs!B26*(1+Inputs!B17)^Inputs!B21</f>
        <v/>
      </c>
    </row>
    <row r="18">
      <c r="A18" t="inlineStr">
        <is>
          <t>Required Retirement Corpus</t>
        </is>
      </c>
      <c r="B18">
        <f>B17/Inputs!B19</f>
        <v/>
      </c>
    </row>
    <row r="19">
      <c r="A19" t="inlineStr">
        <is>
          <t>Retirement Surplus/Shortfall</t>
        </is>
      </c>
      <c r="B19">
        <f>B16-B18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2025-09-19T02:20:51Z</dcterms:created>
  <dcterms:modified xmlns:dcterms="http://purl.org/dc/terms/" xmlns:xsi="http://www.w3.org/2001/XMLSchema-instance" xsi:type="dcterms:W3CDTF">2025-09-19T02:20:51Z</dcterms:modified>
</cp:coreProperties>
</file>