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tirement Summary" sheetId="2" state="visible" r:id="rId2"/>
    <sheet xmlns:r="http://schemas.openxmlformats.org/officeDocument/2006/relationships" name="Tax &amp; Pension" sheetId="3" state="visible" r:id="rId3"/>
    <sheet xmlns:r="http://schemas.openxmlformats.org/officeDocument/2006/relationships" name="Investment Portfol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 age</t>
        </is>
      </c>
      <c r="B2" t="n">
        <v>49</v>
      </c>
    </row>
    <row r="3">
      <c r="A3" t="inlineStr">
        <is>
          <t>Partner's current age</t>
        </is>
      </c>
      <c r="B3" t="n">
        <v>44</v>
      </c>
    </row>
    <row r="4">
      <c r="A4" t="inlineStr">
        <is>
          <t>Planned retirement age</t>
        </is>
      </c>
      <c r="B4" t="n">
        <v>68</v>
      </c>
    </row>
    <row r="5">
      <c r="A5" t="inlineStr">
        <is>
          <t>Your expected lifespan</t>
        </is>
      </c>
      <c r="B5" t="n">
        <v>95</v>
      </c>
    </row>
    <row r="6">
      <c r="A6" t="inlineStr">
        <is>
          <t>Partner's expected lifespan</t>
        </is>
      </c>
      <c r="B6" t="n">
        <v>99</v>
      </c>
    </row>
    <row r="7">
      <c r="A7" t="inlineStr">
        <is>
          <t>Current home value</t>
        </is>
      </c>
      <c r="B7" t="n">
        <v>700000</v>
      </c>
    </row>
    <row r="8">
      <c r="A8" t="inlineStr">
        <is>
          <t>Outstanding mortgage</t>
        </is>
      </c>
      <c r="B8" t="n">
        <v>500000</v>
      </c>
    </row>
    <row r="9">
      <c r="A9" t="inlineStr">
        <is>
          <t>Annual mortgage rate</t>
        </is>
      </c>
      <c r="B9" t="n">
        <v>0.0527</v>
      </c>
    </row>
    <row r="10">
      <c r="A10" t="inlineStr">
        <is>
          <t>Years left on mortgage</t>
        </is>
      </c>
      <c r="B10" t="n">
        <v>26.25</v>
      </c>
    </row>
    <row r="11">
      <c r="A11" t="inlineStr">
        <is>
          <t>Current Cash/Savings</t>
        </is>
      </c>
      <c r="B11" t="n">
        <v>55000</v>
      </c>
    </row>
    <row r="12">
      <c r="A12" t="inlineStr">
        <is>
          <t>Stock portfolio</t>
        </is>
      </c>
      <c r="B12" t="n">
        <v>62000</v>
      </c>
    </row>
    <row r="13">
      <c r="A13" t="inlineStr">
        <is>
          <t>Annual salary</t>
        </is>
      </c>
      <c r="B13" t="n">
        <v>140000</v>
      </c>
    </row>
    <row r="14">
      <c r="A14" t="inlineStr">
        <is>
          <t>Partner's annual salary</t>
        </is>
      </c>
      <c r="B14" t="n">
        <v>36000</v>
      </c>
    </row>
    <row r="15">
      <c r="A15" t="inlineStr">
        <is>
          <t>% of income saved</t>
        </is>
      </c>
      <c r="B15" t="n">
        <v>0.1</v>
      </c>
    </row>
    <row r="16">
      <c r="A16" t="inlineStr">
        <is>
          <t>Monthly Stock contributions</t>
        </is>
      </c>
      <c r="B16" t="n">
        <v>1000</v>
      </c>
    </row>
    <row r="17">
      <c r="A17" t="inlineStr">
        <is>
          <t>Annual inflation</t>
        </is>
      </c>
      <c r="B17" t="n">
        <v>0.03</v>
      </c>
    </row>
    <row r="18">
      <c r="A18" t="inlineStr">
        <is>
          <t>Annual investment return</t>
        </is>
      </c>
      <c r="B18" t="n">
        <v>0.07000000000000001</v>
      </c>
    </row>
    <row r="19">
      <c r="A19" t="inlineStr">
        <is>
          <t>Return on cash/savings</t>
        </is>
      </c>
      <c r="B19" t="n">
        <v>0.04</v>
      </c>
    </row>
    <row r="20">
      <c r="A20" t="inlineStr">
        <is>
          <t>Safe withdrawal rate</t>
        </is>
      </c>
      <c r="B20" t="n">
        <v>0.04</v>
      </c>
    </row>
    <row r="21">
      <c r="A21" t="inlineStr">
        <is>
          <t>Years to Retirement</t>
        </is>
      </c>
      <c r="B21" t="n">
        <v>19</v>
      </c>
    </row>
    <row r="22">
      <c r="A22" t="inlineStr">
        <is>
          <t>Years in Retirement</t>
        </is>
      </c>
      <c r="B22" t="n">
        <v>31</v>
      </c>
    </row>
    <row r="23">
      <c r="A23" t="inlineStr">
        <is>
          <t>Current Superannuation Balance</t>
        </is>
      </c>
      <c r="B23" t="n">
        <v>300000</v>
      </c>
    </row>
    <row r="24">
      <c r="A24" t="inlineStr">
        <is>
          <t>Superannuation Contributions %</t>
        </is>
      </c>
      <c r="B24" t="n">
        <v>0.12</v>
      </c>
    </row>
    <row r="25">
      <c r="A25" t="inlineStr">
        <is>
          <t>Superannuation growth %</t>
        </is>
      </c>
      <c r="B25" t="n">
        <v>0.09</v>
      </c>
    </row>
    <row r="26">
      <c r="A26" t="inlineStr">
        <is>
          <t>ASFA Comfortable Income (2025)</t>
        </is>
      </c>
      <c r="B26" t="n">
        <v>73875</v>
      </c>
    </row>
    <row r="27">
      <c r="A27" t="inlineStr">
        <is>
          <t>Age Pension (2025)</t>
        </is>
      </c>
      <c r="B27" t="n">
        <v>45037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61" customWidth="1" min="2" max="2"/>
    <col width="7" customWidth="1" min="3" max="3"/>
  </cols>
  <sheetData>
    <row r="1">
      <c r="A1" s="1" t="inlineStr">
        <is>
          <t>Metric</t>
        </is>
      </c>
      <c r="B1" s="1" t="inlineStr">
        <is>
          <t>Formula</t>
        </is>
      </c>
      <c r="C1" s="1" t="inlineStr">
        <is>
          <t>Value</t>
        </is>
      </c>
    </row>
    <row r="2">
      <c r="A2" t="inlineStr">
        <is>
          <t>Monthly Mortgage Payment</t>
        </is>
      </c>
      <c r="B2">
        <f>PMT(Inputs!B9/12, Inputs!B10*12, -Inputs!B8)</f>
        <v/>
      </c>
    </row>
    <row r="3">
      <c r="A3" t="inlineStr">
        <is>
          <t>Home Value at Retirement</t>
        </is>
      </c>
      <c r="B3">
        <f>Inputs!B6*(1+Inputs!B17)^Inputs!B21</f>
        <v/>
      </c>
    </row>
    <row r="4">
      <c r="A4" t="inlineStr">
        <is>
          <t>Mortgage Balance at Retirement</t>
        </is>
      </c>
      <c r="B4">
        <f>FV(Inputs!B9/12, Inputs!B21*12, Inputs!B8, 0)</f>
        <v/>
      </c>
    </row>
    <row r="5">
      <c r="A5" t="inlineStr">
        <is>
          <t>Net Home Equity at Retirement</t>
        </is>
      </c>
      <c r="B5">
        <f>B2-B3</f>
        <v/>
      </c>
    </row>
    <row r="6">
      <c r="A6" t="inlineStr">
        <is>
          <t>Current Combined Salary</t>
        </is>
      </c>
      <c r="B6">
        <f>Inputs!B12+Inputs!B13</f>
        <v/>
      </c>
    </row>
    <row r="7">
      <c r="A7" t="inlineStr">
        <is>
          <t>Current Annual Savings Contribution</t>
        </is>
      </c>
      <c r="B7">
        <f>B4*Inputs!B14</f>
        <v/>
      </c>
    </row>
    <row r="8">
      <c r="A8" t="inlineStr">
        <is>
          <t>Future Value of Current Savings</t>
        </is>
      </c>
      <c r="B8">
        <f>Inputs!B11*(1+Inputs!B18)^Inputs!B21</f>
        <v/>
      </c>
    </row>
    <row r="9">
      <c r="A9" t="inlineStr">
        <is>
          <t>Future Value of Ongoing Savings Contributions</t>
        </is>
      </c>
      <c r="B9">
        <f>FV(Inputs!B18, Inputs!B21, B6, B7)</f>
        <v/>
      </c>
    </row>
    <row r="10">
      <c r="A10" t="inlineStr">
        <is>
          <t>Total Future Savings</t>
        </is>
      </c>
      <c r="B10">
        <f>B8+B9</f>
        <v/>
      </c>
    </row>
    <row r="11">
      <c r="A11" t="inlineStr">
        <is>
          <t>Future Value of Current Stock Portfolio</t>
        </is>
      </c>
      <c r="B11">
        <f>Inputs!B12*(1+Inputs!B17)^Inputs!B21</f>
        <v/>
      </c>
    </row>
    <row r="12">
      <c r="A12" t="inlineStr">
        <is>
          <t>Future Value of Monthly Stock Investments</t>
        </is>
      </c>
      <c r="B12">
        <f>FV(Inputs!B17/12, Inputs!B21*12, -Inputs!B15, -Inputs!B12)</f>
        <v/>
      </c>
    </row>
    <row r="13">
      <c r="A13" t="inlineStr">
        <is>
          <t>Total Future Stock Portfolio</t>
        </is>
      </c>
      <c r="B13">
        <f>B11+B12</f>
        <v/>
      </c>
    </row>
    <row r="14">
      <c r="A14" t="inlineStr">
        <is>
          <t>Superannuation Contributions</t>
        </is>
      </c>
      <c r="B14">
        <f>(Inputs!B12+Inputs!B13)*Inputs!B23</f>
        <v/>
      </c>
    </row>
    <row r="15">
      <c r="A15" t="inlineStr">
        <is>
          <t>Future Value of Superannuation</t>
        </is>
      </c>
      <c r="B15">
        <f>FV(Inputs!B24, Inputs!B21, B14, -Inputs!B22)</f>
        <v/>
      </c>
    </row>
    <row r="16">
      <c r="A16" t="inlineStr">
        <is>
          <t>Total Assets at Retirement</t>
        </is>
      </c>
      <c r="B16">
        <f>B5+B10+B13+B15</f>
        <v/>
      </c>
    </row>
    <row r="17">
      <c r="A17" t="inlineStr">
        <is>
          <t>Required Annual Income in Retirement</t>
        </is>
      </c>
      <c r="B17">
        <f>Inputs!B26*(1+Inputs!B17)^Inputs!B21</f>
        <v/>
      </c>
    </row>
    <row r="18">
      <c r="A18" t="inlineStr">
        <is>
          <t>Required Retirement Corpus</t>
        </is>
      </c>
      <c r="B18">
        <f>B17/Inputs!B19</f>
        <v/>
      </c>
    </row>
    <row r="19">
      <c r="A19" t="inlineStr">
        <is>
          <t>Retirement Surplus/Shortfall</t>
        </is>
      </c>
      <c r="B19">
        <f>B16-B18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54" customWidth="1" min="3" max="3"/>
    <col width="27" customWidth="1" min="4" max="4"/>
    <col width="47" customWidth="1" min="5" max="5"/>
  </cols>
  <sheetData>
    <row r="1">
      <c r="A1" s="1" t="inlineStr">
        <is>
          <t>Year</t>
        </is>
      </c>
      <c r="B1" s="1" t="inlineStr">
        <is>
          <t>Taxable Income</t>
        </is>
      </c>
      <c r="C1" s="1" t="inlineStr">
        <is>
          <t>Income Tax</t>
        </is>
      </c>
      <c r="D1" s="1" t="inlineStr">
        <is>
          <t>Age Pension Eligibility</t>
        </is>
      </c>
      <c r="E1" s="1" t="inlineStr">
        <is>
          <t>Age Pension Amount</t>
        </is>
      </c>
    </row>
    <row r="2">
      <c r="A2">
        <f>Inputs!B3+1</f>
        <v/>
      </c>
      <c r="B2">
        <f>Inputs!B12*Inputs!B14</f>
        <v/>
      </c>
      <c r="C2">
        <f>IF(B2&lt;=18200,0,IF(B2&lt;=45000,(B2-18200)*0.19,IF(B2&lt;=120000,5092+(B2-45000)*0.325,IF(B2&lt;=180000,29467+(B2-120000)*0.37,51667+(B2-180000)*0.45))))</f>
        <v/>
      </c>
      <c r="D2">
        <f>IF(B2&lt;67500,"Yes","No")</f>
        <v/>
      </c>
      <c r="E2">
        <f>IF(D2="Yes",Inputs!B28*(1+Inputs!B17)^1,0)</f>
        <v/>
      </c>
    </row>
    <row r="3">
      <c r="A3">
        <f>Inputs!B3+2</f>
        <v/>
      </c>
      <c r="B3">
        <f>Inputs!B12*Inputs!B14</f>
        <v/>
      </c>
      <c r="C3">
        <f>IF(B3&lt;=18200,0,IF(B3&lt;=45000,(B3-18200)*0.19,IF(B3&lt;=120000,5092+(B3-45000)*0.325,IF(B3&lt;=180000,29467+(B3-120000)*0.37,51667+(B3-180000)*0.45))))</f>
        <v/>
      </c>
      <c r="D3">
        <f>IF(B3&lt;67500,"Yes","No")</f>
        <v/>
      </c>
      <c r="E3">
        <f>IF(D3="Yes",Inputs!B28*(1+Inputs!B17)^2,0)</f>
        <v/>
      </c>
    </row>
    <row r="4">
      <c r="A4">
        <f>Inputs!B3+3</f>
        <v/>
      </c>
      <c r="B4">
        <f>Inputs!B12*Inputs!B14</f>
        <v/>
      </c>
      <c r="C4">
        <f>IF(B4&lt;=18200,0,IF(B4&lt;=45000,(B4-18200)*0.19,IF(B4&lt;=120000,5092+(B4-45000)*0.325,IF(B4&lt;=180000,29467+(B4-120000)*0.37,51667+(B4-180000)*0.45))))</f>
        <v/>
      </c>
      <c r="D4">
        <f>IF(B4&lt;67500,"Yes","No")</f>
        <v/>
      </c>
      <c r="E4">
        <f>IF(D4="Yes",Inputs!B28*(1+Inputs!B17)^3,0)</f>
        <v/>
      </c>
    </row>
    <row r="5">
      <c r="A5">
        <f>Inputs!B3+4</f>
        <v/>
      </c>
      <c r="B5">
        <f>Inputs!B12*Inputs!B14</f>
        <v/>
      </c>
      <c r="C5">
        <f>IF(B5&lt;=18200,0,IF(B5&lt;=45000,(B5-18200)*0.19,IF(B5&lt;=120000,5092+(B5-45000)*0.325,IF(B5&lt;=180000,29467+(B5-120000)*0.37,51667+(B5-180000)*0.45))))</f>
        <v/>
      </c>
      <c r="D5">
        <f>IF(B5&lt;67500,"Yes","No")</f>
        <v/>
      </c>
      <c r="E5">
        <f>IF(D5="Yes",Inputs!B28*(1+Inputs!B17)^4,0)</f>
        <v/>
      </c>
    </row>
    <row r="6">
      <c r="A6">
        <f>Inputs!B3+5</f>
        <v/>
      </c>
      <c r="B6">
        <f>Inputs!B12*Inputs!B14</f>
        <v/>
      </c>
      <c r="C6">
        <f>IF(B6&lt;=18200,0,IF(B6&lt;=45000,(B6-18200)*0.19,IF(B6&lt;=120000,5092+(B6-45000)*0.325,IF(B6&lt;=180000,29467+(B6-120000)*0.37,51667+(B6-180000)*0.45))))</f>
        <v/>
      </c>
      <c r="D6">
        <f>IF(B6&lt;67500,"Yes","No")</f>
        <v/>
      </c>
      <c r="E6">
        <f>IF(D6="Yes",Inputs!B28*(1+Inputs!B17)^5,0)</f>
        <v/>
      </c>
    </row>
    <row r="7">
      <c r="A7">
        <f>Inputs!B3+6</f>
        <v/>
      </c>
      <c r="B7">
        <f>Inputs!B12*Inputs!B14</f>
        <v/>
      </c>
      <c r="C7">
        <f>IF(B7&lt;=18200,0,IF(B7&lt;=45000,(B7-18200)*0.19,IF(B7&lt;=120000,5092+(B7-45000)*0.325,IF(B7&lt;=180000,29467+(B7-120000)*0.37,51667+(B7-180000)*0.45))))</f>
        <v/>
      </c>
      <c r="D7">
        <f>IF(B7&lt;67500,"Yes","No")</f>
        <v/>
      </c>
      <c r="E7">
        <f>IF(D7="Yes",Inputs!B28*(1+Inputs!B17)^6,0)</f>
        <v/>
      </c>
    </row>
    <row r="8">
      <c r="A8">
        <f>Inputs!B3+7</f>
        <v/>
      </c>
      <c r="B8">
        <f>Inputs!B12*Inputs!B14</f>
        <v/>
      </c>
      <c r="C8">
        <f>IF(B8&lt;=18200,0,IF(B8&lt;=45000,(B8-18200)*0.19,IF(B8&lt;=120000,5092+(B8-45000)*0.325,IF(B8&lt;=180000,29467+(B8-120000)*0.37,51667+(B8-180000)*0.45))))</f>
        <v/>
      </c>
      <c r="D8">
        <f>IF(B8&lt;67500,"Yes","No")</f>
        <v/>
      </c>
      <c r="E8">
        <f>IF(D8="Yes",Inputs!B28*(1+Inputs!B17)^7,0)</f>
        <v/>
      </c>
    </row>
    <row r="9">
      <c r="A9">
        <f>Inputs!B3+8</f>
        <v/>
      </c>
      <c r="B9">
        <f>Inputs!B12*Inputs!B14</f>
        <v/>
      </c>
      <c r="C9">
        <f>IF(B9&lt;=18200,0,IF(B9&lt;=45000,(B9-18200)*0.19,IF(B9&lt;=120000,5092+(B9-45000)*0.325,IF(B9&lt;=180000,29467+(B9-120000)*0.37,51667+(B9-180000)*0.45))))</f>
        <v/>
      </c>
      <c r="D9">
        <f>IF(B9&lt;67500,"Yes","No")</f>
        <v/>
      </c>
      <c r="E9">
        <f>IF(D9="Yes",Inputs!B28*(1+Inputs!B17)^8,0)</f>
        <v/>
      </c>
    </row>
    <row r="10">
      <c r="A10">
        <f>Inputs!B3+9</f>
        <v/>
      </c>
      <c r="B10">
        <f>Inputs!B12*Inputs!B14</f>
        <v/>
      </c>
      <c r="C10">
        <f>IF(B10&lt;=18200,0,IF(B10&lt;=45000,(B10-18200)*0.19,IF(B10&lt;=120000,5092+(B10-45000)*0.325,IF(B10&lt;=180000,29467+(B10-120000)*0.37,51667+(B10-180000)*0.45))))</f>
        <v/>
      </c>
      <c r="D10">
        <f>IF(B10&lt;67500,"Yes","No")</f>
        <v/>
      </c>
      <c r="E10">
        <f>IF(D10="Yes",Inputs!B28*(1+Inputs!B17)^9,0)</f>
        <v/>
      </c>
    </row>
    <row r="11">
      <c r="A11">
        <f>Inputs!B3+10</f>
        <v/>
      </c>
      <c r="B11">
        <f>Inputs!B12*Inputs!B14</f>
        <v/>
      </c>
      <c r="C11">
        <f>IF(B11&lt;=18200,0,IF(B11&lt;=45000,(B11-18200)*0.19,IF(B11&lt;=120000,5092+(B11-45000)*0.325,IF(B11&lt;=180000,29467+(B11-120000)*0.37,51667+(B11-180000)*0.45))))</f>
        <v/>
      </c>
      <c r="D11">
        <f>IF(B11&lt;67500,"Yes","No")</f>
        <v/>
      </c>
      <c r="E11">
        <f>IF(D11="Yes",Inputs!B28*(1+Inputs!B17)^10,0)</f>
        <v/>
      </c>
    </row>
    <row r="12">
      <c r="A12">
        <f>Inputs!B3+11</f>
        <v/>
      </c>
      <c r="B12">
        <f>Inputs!B12*Inputs!B14</f>
        <v/>
      </c>
      <c r="C12">
        <f>IF(B12&lt;=18200,0,IF(B12&lt;=45000,(B12-18200)*0.19,IF(B12&lt;=120000,5092+(B12-45000)*0.325,IF(B12&lt;=180000,29467+(B12-120000)*0.37,51667+(B12-180000)*0.45))))</f>
        <v/>
      </c>
      <c r="D12">
        <f>IF(B12&lt;67500,"Yes","No")</f>
        <v/>
      </c>
      <c r="E12">
        <f>IF(D12="Yes",Inputs!B28*(1+Inputs!B17)^11,0)</f>
        <v/>
      </c>
    </row>
    <row r="13">
      <c r="A13">
        <f>Inputs!B3+12</f>
        <v/>
      </c>
      <c r="B13">
        <f>Inputs!B12*Inputs!B14</f>
        <v/>
      </c>
      <c r="C13">
        <f>IF(B13&lt;=18200,0,IF(B13&lt;=45000,(B13-18200)*0.19,IF(B13&lt;=120000,5092+(B13-45000)*0.325,IF(B13&lt;=180000,29467+(B13-120000)*0.37,51667+(B13-180000)*0.45))))</f>
        <v/>
      </c>
      <c r="D13">
        <f>IF(B13&lt;67500,"Yes","No")</f>
        <v/>
      </c>
      <c r="E13">
        <f>IF(D13="Yes",Inputs!B28*(1+Inputs!B17)^12,0)</f>
        <v/>
      </c>
    </row>
    <row r="14">
      <c r="A14">
        <f>Inputs!B3+13</f>
        <v/>
      </c>
      <c r="B14">
        <f>Inputs!B12*Inputs!B14</f>
        <v/>
      </c>
      <c r="C14">
        <f>IF(B14&lt;=18200,0,IF(B14&lt;=45000,(B14-18200)*0.19,IF(B14&lt;=120000,5092+(B14-45000)*0.325,IF(B14&lt;=180000,29467+(B14-120000)*0.37,51667+(B14-180000)*0.45))))</f>
        <v/>
      </c>
      <c r="D14">
        <f>IF(B14&lt;67500,"Yes","No")</f>
        <v/>
      </c>
      <c r="E14">
        <f>IF(D14="Yes",Inputs!B28*(1+Inputs!B17)^13,0)</f>
        <v/>
      </c>
    </row>
    <row r="15">
      <c r="A15">
        <f>Inputs!B3+14</f>
        <v/>
      </c>
      <c r="B15">
        <f>Inputs!B12*Inputs!B14</f>
        <v/>
      </c>
      <c r="C15">
        <f>IF(B15&lt;=18200,0,IF(B15&lt;=45000,(B15-18200)*0.19,IF(B15&lt;=120000,5092+(B15-45000)*0.325,IF(B15&lt;=180000,29467+(B15-120000)*0.37,51667+(B15-180000)*0.45))))</f>
        <v/>
      </c>
      <c r="D15">
        <f>IF(B15&lt;67500,"Yes","No")</f>
        <v/>
      </c>
      <c r="E15">
        <f>IF(D15="Yes",Inputs!B28*(1+Inputs!B17)^14,0)</f>
        <v/>
      </c>
    </row>
    <row r="16">
      <c r="A16">
        <f>Inputs!B3+15</f>
        <v/>
      </c>
      <c r="B16">
        <f>Inputs!B12*Inputs!B14</f>
        <v/>
      </c>
      <c r="C16">
        <f>IF(B16&lt;=18200,0,IF(B16&lt;=45000,(B16-18200)*0.19,IF(B16&lt;=120000,5092+(B16-45000)*0.325,IF(B16&lt;=180000,29467+(B16-120000)*0.37,51667+(B16-180000)*0.45))))</f>
        <v/>
      </c>
      <c r="D16">
        <f>IF(B16&lt;67500,"Yes","No")</f>
        <v/>
      </c>
      <c r="E16">
        <f>IF(D16="Yes",Inputs!B28*(1+Inputs!B17)^15,0)</f>
        <v/>
      </c>
    </row>
    <row r="17">
      <c r="A17">
        <f>Inputs!B3+16</f>
        <v/>
      </c>
      <c r="B17">
        <f>Inputs!B12*Inputs!B14</f>
        <v/>
      </c>
      <c r="C17">
        <f>IF(B17&lt;=18200,0,IF(B17&lt;=45000,(B17-18200)*0.19,IF(B17&lt;=120000,5092+(B17-45000)*0.325,IF(B17&lt;=180000,29467+(B17-120000)*0.37,51667+(B17-180000)*0.45))))</f>
        <v/>
      </c>
      <c r="D17">
        <f>IF(B17&lt;67500,"Yes","No")</f>
        <v/>
      </c>
      <c r="E17">
        <f>IF(D17="Yes",Inputs!B28*(1+Inputs!B17)^16,0)</f>
        <v/>
      </c>
    </row>
    <row r="18">
      <c r="A18">
        <f>Inputs!B3+17</f>
        <v/>
      </c>
      <c r="B18">
        <f>Inputs!B12*Inputs!B14</f>
        <v/>
      </c>
      <c r="C18">
        <f>IF(B18&lt;=18200,0,IF(B18&lt;=45000,(B18-18200)*0.19,IF(B18&lt;=120000,5092+(B18-45000)*0.325,IF(B18&lt;=180000,29467+(B18-120000)*0.37,51667+(B18-180000)*0.45))))</f>
        <v/>
      </c>
      <c r="D18">
        <f>IF(B18&lt;67500,"Yes","No")</f>
        <v/>
      </c>
      <c r="E18">
        <f>IF(D18="Yes",Inputs!B28*(1+Inputs!B17)^17,0)</f>
        <v/>
      </c>
    </row>
    <row r="19">
      <c r="A19">
        <f>Inputs!B3+18</f>
        <v/>
      </c>
      <c r="B19">
        <f>Inputs!B12*Inputs!B14</f>
        <v/>
      </c>
      <c r="C19">
        <f>IF(B19&lt;=18200,0,IF(B19&lt;=45000,(B19-18200)*0.19,IF(B19&lt;=120000,5092+(B19-45000)*0.325,IF(B19&lt;=180000,29467+(B19-120000)*0.37,51667+(B19-180000)*0.45))))</f>
        <v/>
      </c>
      <c r="D19">
        <f>IF(B19&lt;67500,"Yes","No")</f>
        <v/>
      </c>
      <c r="E19">
        <f>IF(D19="Yes",Inputs!B28*(1+Inputs!B17)^18,0)</f>
        <v/>
      </c>
    </row>
    <row r="20">
      <c r="A20">
        <f>Inputs!B3+19</f>
        <v/>
      </c>
      <c r="B20">
        <f>Inputs!B12*Inputs!B14</f>
        <v/>
      </c>
      <c r="C20">
        <f>IF(B20&lt;=18200,0,IF(B20&lt;=45000,(B20-18200)*0.19,IF(B20&lt;=120000,5092+(B20-45000)*0.325,IF(B20&lt;=180000,29467+(B20-120000)*0.37,51667+(B20-180000)*0.45))))</f>
        <v/>
      </c>
      <c r="D20">
        <f>IF(B20&lt;67500,"Yes","No")</f>
        <v/>
      </c>
      <c r="E20">
        <f>IF(D20="Yes",Inputs!B28*(1+Inputs!B17)^19,0)</f>
        <v/>
      </c>
    </row>
    <row r="21">
      <c r="A21">
        <f>Inputs!B3+20</f>
        <v/>
      </c>
      <c r="B21">
        <f>Inputs!B12*Inputs!B14</f>
        <v/>
      </c>
      <c r="C21">
        <f>IF(B21&lt;=18200,0,IF(B21&lt;=45000,(B21-18200)*0.19,IF(B21&lt;=120000,5092+(B21-45000)*0.325,IF(B21&lt;=180000,29467+(B21-120000)*0.37,51667+(B21-180000)*0.45))))</f>
        <v/>
      </c>
      <c r="D21">
        <f>IF(B21&lt;67500,"Yes","No")</f>
        <v/>
      </c>
      <c r="E21">
        <f>IF(D21="Yes",Inputs!B28*(1+Inputs!B17)^20,0)</f>
        <v/>
      </c>
    </row>
    <row r="22">
      <c r="A22">
        <f>Inputs!B3+21</f>
        <v/>
      </c>
      <c r="B22">
        <f>Inputs!B12*Inputs!B14</f>
        <v/>
      </c>
      <c r="C22">
        <f>IF(B22&lt;=18200,0,IF(B22&lt;=45000,(B22-18200)*0.19,IF(B22&lt;=120000,5092+(B22-45000)*0.325,IF(B22&lt;=180000,29467+(B22-120000)*0.37,51667+(B22-180000)*0.45))))</f>
        <v/>
      </c>
      <c r="D22">
        <f>IF(B22&lt;67500,"Yes","No")</f>
        <v/>
      </c>
      <c r="E22">
        <f>IF(D22="Yes",Inputs!B28*(1+Inputs!B17)^21,0)</f>
        <v/>
      </c>
    </row>
    <row r="23">
      <c r="A23">
        <f>Inputs!B3+22</f>
        <v/>
      </c>
      <c r="B23">
        <f>Inputs!B12*Inputs!B14</f>
        <v/>
      </c>
      <c r="C23">
        <f>IF(B23&lt;=18200,0,IF(B23&lt;=45000,(B23-18200)*0.19,IF(B23&lt;=120000,5092+(B23-45000)*0.325,IF(B23&lt;=180000,29467+(B23-120000)*0.37,51667+(B23-180000)*0.45))))</f>
        <v/>
      </c>
      <c r="D23">
        <f>IF(B23&lt;67500,"Yes","No")</f>
        <v/>
      </c>
      <c r="E23">
        <f>IF(D23="Yes",Inputs!B28*(1+Inputs!B17)^22,0)</f>
        <v/>
      </c>
    </row>
    <row r="24">
      <c r="A24">
        <f>Inputs!B3+23</f>
        <v/>
      </c>
      <c r="B24">
        <f>Inputs!B12*Inputs!B14</f>
        <v/>
      </c>
      <c r="C24">
        <f>IF(B24&lt;=18200,0,IF(B24&lt;=45000,(B24-18200)*0.19,IF(B24&lt;=120000,5092+(B24-45000)*0.325,IF(B24&lt;=180000,29467+(B24-120000)*0.37,51667+(B24-180000)*0.45))))</f>
        <v/>
      </c>
      <c r="D24">
        <f>IF(B24&lt;67500,"Yes","No")</f>
        <v/>
      </c>
      <c r="E24">
        <f>IF(D24="Yes",Inputs!B28*(1+Inputs!B17)^23,0)</f>
        <v/>
      </c>
    </row>
    <row r="25">
      <c r="A25">
        <f>Inputs!B3+24</f>
        <v/>
      </c>
      <c r="B25">
        <f>Inputs!B12*Inputs!B14</f>
        <v/>
      </c>
      <c r="C25">
        <f>IF(B25&lt;=18200,0,IF(B25&lt;=45000,(B25-18200)*0.19,IF(B25&lt;=120000,5092+(B25-45000)*0.325,IF(B25&lt;=180000,29467+(B25-120000)*0.37,51667+(B25-180000)*0.45))))</f>
        <v/>
      </c>
      <c r="D25">
        <f>IF(B25&lt;67500,"Yes","No")</f>
        <v/>
      </c>
      <c r="E25">
        <f>IF(D25="Yes",Inputs!B28*(1+Inputs!B17)^24,0)</f>
        <v/>
      </c>
    </row>
    <row r="26">
      <c r="A26">
        <f>Inputs!B3+25</f>
        <v/>
      </c>
      <c r="B26">
        <f>Inputs!B12*Inputs!B14</f>
        <v/>
      </c>
      <c r="C26">
        <f>IF(B26&lt;=18200,0,IF(B26&lt;=45000,(B26-18200)*0.19,IF(B26&lt;=120000,5092+(B26-45000)*0.325,IF(B26&lt;=180000,29467+(B26-120000)*0.37,51667+(B26-180000)*0.45))))</f>
        <v/>
      </c>
      <c r="D26">
        <f>IF(B26&lt;67500,"Yes","No")</f>
        <v/>
      </c>
      <c r="E26">
        <f>IF(D26="Yes",Inputs!B28*(1+Inputs!B17)^25,0)</f>
        <v/>
      </c>
    </row>
    <row r="27">
      <c r="A27">
        <f>Inputs!B3+26</f>
        <v/>
      </c>
      <c r="B27">
        <f>Inputs!B12*Inputs!B14</f>
        <v/>
      </c>
      <c r="C27">
        <f>IF(B27&lt;=18200,0,IF(B27&lt;=45000,(B27-18200)*0.19,IF(B27&lt;=120000,5092+(B27-45000)*0.325,IF(B27&lt;=180000,29467+(B27-120000)*0.37,51667+(B27-180000)*0.45))))</f>
        <v/>
      </c>
      <c r="D27">
        <f>IF(B27&lt;67500,"Yes","No")</f>
        <v/>
      </c>
      <c r="E27">
        <f>IF(D27="Yes",Inputs!B28*(1+Inputs!B17)^26,0)</f>
        <v/>
      </c>
    </row>
    <row r="28">
      <c r="A28">
        <f>Inputs!B3+27</f>
        <v/>
      </c>
      <c r="B28">
        <f>Inputs!B12*Inputs!B14</f>
        <v/>
      </c>
      <c r="C28">
        <f>IF(B28&lt;=18200,0,IF(B28&lt;=45000,(B28-18200)*0.19,IF(B28&lt;=120000,5092+(B28-45000)*0.325,IF(B28&lt;=180000,29467+(B28-120000)*0.37,51667+(B28-180000)*0.45))))</f>
        <v/>
      </c>
      <c r="D28">
        <f>IF(B28&lt;67500,"Yes","No")</f>
        <v/>
      </c>
      <c r="E28">
        <f>IF(D28="Yes",Inputs!B28*(1+Inputs!B17)^27,0)</f>
        <v/>
      </c>
    </row>
    <row r="29">
      <c r="A29">
        <f>Inputs!B3+28</f>
        <v/>
      </c>
      <c r="B29">
        <f>Inputs!B12*Inputs!B14</f>
        <v/>
      </c>
      <c r="C29">
        <f>IF(B29&lt;=18200,0,IF(B29&lt;=45000,(B29-18200)*0.19,IF(B29&lt;=120000,5092+(B29-45000)*0.325,IF(B29&lt;=180000,29467+(B29-120000)*0.37,51667+(B29-180000)*0.45))))</f>
        <v/>
      </c>
      <c r="D29">
        <f>IF(B29&lt;67500,"Yes","No")</f>
        <v/>
      </c>
      <c r="E29">
        <f>IF(D29="Yes",Inputs!B28*(1+Inputs!B17)^28,0)</f>
        <v/>
      </c>
    </row>
    <row r="30">
      <c r="A30">
        <f>Inputs!B3+29</f>
        <v/>
      </c>
      <c r="B30">
        <f>Inputs!B12*Inputs!B14</f>
        <v/>
      </c>
      <c r="C30">
        <f>IF(B30&lt;=18200,0,IF(B30&lt;=45000,(B30-18200)*0.19,IF(B30&lt;=120000,5092+(B30-45000)*0.325,IF(B30&lt;=180000,29467+(B30-120000)*0.37,51667+(B30-180000)*0.45))))</f>
        <v/>
      </c>
      <c r="D30">
        <f>IF(B30&lt;67500,"Yes","No")</f>
        <v/>
      </c>
      <c r="E30">
        <f>IF(D30="Yes",Inputs!B28*(1+Inputs!B17)^29,0)</f>
        <v/>
      </c>
    </row>
    <row r="31">
      <c r="A31">
        <f>Inputs!B3+30</f>
        <v/>
      </c>
      <c r="B31">
        <f>Inputs!B12*Inputs!B14</f>
        <v/>
      </c>
      <c r="C31">
        <f>IF(B31&lt;=18200,0,IF(B31&lt;=45000,(B31-18200)*0.19,IF(B31&lt;=120000,5092+(B31-45000)*0.325,IF(B31&lt;=180000,29467+(B31-120000)*0.37,51667+(B31-180000)*0.45))))</f>
        <v/>
      </c>
      <c r="D31">
        <f>IF(B31&lt;67500,"Yes","No")</f>
        <v/>
      </c>
      <c r="E31">
        <f>IF(D31="Yes",Inputs!B28*(1+Inputs!B17)^30,0)</f>
        <v/>
      </c>
    </row>
    <row r="32">
      <c r="A32">
        <f>Inputs!B3+31</f>
        <v/>
      </c>
      <c r="B32">
        <f>Inputs!B12*Inputs!B14</f>
        <v/>
      </c>
      <c r="C32">
        <f>IF(B32&lt;=18200,0,IF(B32&lt;=45000,(B32-18200)*0.19,IF(B32&lt;=120000,5092+(B32-45000)*0.325,IF(B32&lt;=180000,29467+(B32-120000)*0.37,51667+(B32-180000)*0.45))))</f>
        <v/>
      </c>
      <c r="D32">
        <f>IF(B32&lt;67500,"Yes","No")</f>
        <v/>
      </c>
      <c r="E32">
        <f>IF(D32="Yes",Inputs!B28*(1+Inputs!B17)^31,0)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8" customWidth="1" min="4" max="4"/>
  </cols>
  <sheetData>
    <row r="1">
      <c r="A1" s="1" t="inlineStr">
        <is>
          <t>Year</t>
        </is>
      </c>
      <c r="B1" s="1" t="inlineStr">
        <is>
          <t>ETF Value</t>
        </is>
      </c>
      <c r="C1" s="1" t="inlineStr">
        <is>
          <t>Dividend Income</t>
        </is>
      </c>
      <c r="D1" s="1" t="inlineStr">
        <is>
          <t>Rebalanced Value</t>
        </is>
      </c>
    </row>
    <row r="2">
      <c r="A2">
        <f>Inputs!B13*(1+Inputs!B18)^1</f>
        <v/>
      </c>
      <c r="B2">
        <f>B2*0.04</f>
        <v/>
      </c>
      <c r="C2">
        <f>B2+C2</f>
        <v/>
      </c>
    </row>
    <row r="3">
      <c r="A3">
        <f>Inputs!B13*(1+Inputs!B18)^2</f>
        <v/>
      </c>
      <c r="B3">
        <f>B3*0.04</f>
        <v/>
      </c>
      <c r="C3">
        <f>B3+C3</f>
        <v/>
      </c>
    </row>
    <row r="4">
      <c r="A4">
        <f>Inputs!B13*(1+Inputs!B18)^3</f>
        <v/>
      </c>
      <c r="B4">
        <f>B4*0.04</f>
        <v/>
      </c>
      <c r="C4">
        <f>B4+C4</f>
        <v/>
      </c>
    </row>
    <row r="5">
      <c r="A5">
        <f>Inputs!B13*(1+Inputs!B18)^4</f>
        <v/>
      </c>
      <c r="B5">
        <f>B5*0.04</f>
        <v/>
      </c>
      <c r="C5">
        <f>B5+C5</f>
        <v/>
      </c>
    </row>
    <row r="6">
      <c r="A6">
        <f>Inputs!B13*(1+Inputs!B18)^5</f>
        <v/>
      </c>
      <c r="B6">
        <f>B6*0.04</f>
        <v/>
      </c>
      <c r="C6">
        <f>B6+C6</f>
        <v/>
      </c>
    </row>
    <row r="7">
      <c r="A7">
        <f>Inputs!B13*(1+Inputs!B18)^6</f>
        <v/>
      </c>
      <c r="B7">
        <f>B7*0.04</f>
        <v/>
      </c>
      <c r="C7">
        <f>B7+C7</f>
        <v/>
      </c>
    </row>
    <row r="8">
      <c r="A8">
        <f>Inputs!B13*(1+Inputs!B18)^7</f>
        <v/>
      </c>
      <c r="B8">
        <f>B8*0.04</f>
        <v/>
      </c>
      <c r="C8">
        <f>B8+C8</f>
        <v/>
      </c>
    </row>
    <row r="9">
      <c r="A9">
        <f>Inputs!B13*(1+Inputs!B18)^8</f>
        <v/>
      </c>
      <c r="B9">
        <f>B9*0.04</f>
        <v/>
      </c>
      <c r="C9">
        <f>B9+C9</f>
        <v/>
      </c>
    </row>
    <row r="10">
      <c r="A10">
        <f>Inputs!B13*(1+Inputs!B18)^9</f>
        <v/>
      </c>
      <c r="B10">
        <f>B10*0.04</f>
        <v/>
      </c>
      <c r="C10">
        <f>B10+C10</f>
        <v/>
      </c>
    </row>
    <row r="11">
      <c r="A11">
        <f>Inputs!B13*(1+Inputs!B18)^10</f>
        <v/>
      </c>
      <c r="B11">
        <f>B11*0.04</f>
        <v/>
      </c>
      <c r="C11">
        <f>B11+C11</f>
        <v/>
      </c>
    </row>
    <row r="12">
      <c r="A12">
        <f>Inputs!B13*(1+Inputs!B18)^11</f>
        <v/>
      </c>
      <c r="B12">
        <f>B12*0.04</f>
        <v/>
      </c>
      <c r="C12">
        <f>B12+C12</f>
        <v/>
      </c>
    </row>
    <row r="13">
      <c r="A13">
        <f>Inputs!B13*(1+Inputs!B18)^12</f>
        <v/>
      </c>
      <c r="B13">
        <f>B13*0.04</f>
        <v/>
      </c>
      <c r="C13">
        <f>B13+C13</f>
        <v/>
      </c>
    </row>
    <row r="14">
      <c r="A14">
        <f>Inputs!B13*(1+Inputs!B18)^13</f>
        <v/>
      </c>
      <c r="B14">
        <f>B14*0.04</f>
        <v/>
      </c>
      <c r="C14">
        <f>B14+C14</f>
        <v/>
      </c>
    </row>
    <row r="15">
      <c r="A15">
        <f>Inputs!B13*(1+Inputs!B18)^14</f>
        <v/>
      </c>
      <c r="B15">
        <f>B15*0.04</f>
        <v/>
      </c>
      <c r="C15">
        <f>B15+C15</f>
        <v/>
      </c>
    </row>
    <row r="16">
      <c r="A16">
        <f>Inputs!B13*(1+Inputs!B18)^15</f>
        <v/>
      </c>
      <c r="B16">
        <f>B16*0.04</f>
        <v/>
      </c>
      <c r="C16">
        <f>B16+C16</f>
        <v/>
      </c>
    </row>
    <row r="17">
      <c r="A17">
        <f>Inputs!B13*(1+Inputs!B18)^16</f>
        <v/>
      </c>
      <c r="B17">
        <f>B17*0.04</f>
        <v/>
      </c>
      <c r="C17">
        <f>B17+C17</f>
        <v/>
      </c>
    </row>
    <row r="18">
      <c r="A18">
        <f>Inputs!B13*(1+Inputs!B18)^17</f>
        <v/>
      </c>
      <c r="B18">
        <f>B18*0.04</f>
        <v/>
      </c>
      <c r="C18">
        <f>B18+C18</f>
        <v/>
      </c>
    </row>
    <row r="19">
      <c r="A19">
        <f>Inputs!B13*(1+Inputs!B18)^18</f>
        <v/>
      </c>
      <c r="B19">
        <f>B19*0.04</f>
        <v/>
      </c>
      <c r="C19">
        <f>B19+C19</f>
        <v/>
      </c>
    </row>
    <row r="20">
      <c r="A20">
        <f>Inputs!B13*(1+Inputs!B18)^19</f>
        <v/>
      </c>
      <c r="B20">
        <f>B20*0.04</f>
        <v/>
      </c>
      <c r="C20">
        <f>B20+C20</f>
        <v/>
      </c>
    </row>
    <row r="21">
      <c r="A21">
        <f>Inputs!B13*(1+Inputs!B18)^20</f>
        <v/>
      </c>
      <c r="B21">
        <f>B21*0.04</f>
        <v/>
      </c>
      <c r="C21">
        <f>B21+C21</f>
        <v/>
      </c>
    </row>
    <row r="22">
      <c r="A22">
        <f>Inputs!B13*(1+Inputs!B18)^21</f>
        <v/>
      </c>
      <c r="B22">
        <f>B22*0.04</f>
        <v/>
      </c>
      <c r="C22">
        <f>B22+C22</f>
        <v/>
      </c>
    </row>
    <row r="23">
      <c r="A23">
        <f>Inputs!B13*(1+Inputs!B18)^22</f>
        <v/>
      </c>
      <c r="B23">
        <f>B23*0.04</f>
        <v/>
      </c>
      <c r="C23">
        <f>B23+C23</f>
        <v/>
      </c>
    </row>
    <row r="24">
      <c r="A24">
        <f>Inputs!B13*(1+Inputs!B18)^23</f>
        <v/>
      </c>
      <c r="B24">
        <f>B24*0.04</f>
        <v/>
      </c>
      <c r="C24">
        <f>B24+C24</f>
        <v/>
      </c>
    </row>
    <row r="25">
      <c r="A25">
        <f>Inputs!B13*(1+Inputs!B18)^24</f>
        <v/>
      </c>
      <c r="B25">
        <f>B25*0.04</f>
        <v/>
      </c>
      <c r="C25">
        <f>B25+C25</f>
        <v/>
      </c>
    </row>
    <row r="26">
      <c r="A26">
        <f>Inputs!B13*(1+Inputs!B18)^25</f>
        <v/>
      </c>
      <c r="B26">
        <f>B26*0.04</f>
        <v/>
      </c>
      <c r="C26">
        <f>B26+C26</f>
        <v/>
      </c>
    </row>
    <row r="27">
      <c r="A27">
        <f>Inputs!B13*(1+Inputs!B18)^26</f>
        <v/>
      </c>
      <c r="B27">
        <f>B27*0.04</f>
        <v/>
      </c>
      <c r="C27">
        <f>B27+C27</f>
        <v/>
      </c>
    </row>
    <row r="28">
      <c r="A28">
        <f>Inputs!B13*(1+Inputs!B18)^27</f>
        <v/>
      </c>
      <c r="B28">
        <f>B28*0.04</f>
        <v/>
      </c>
      <c r="C28">
        <f>B28+C28</f>
        <v/>
      </c>
    </row>
    <row r="29">
      <c r="A29">
        <f>Inputs!B13*(1+Inputs!B18)^28</f>
        <v/>
      </c>
      <c r="B29">
        <f>B29*0.04</f>
        <v/>
      </c>
      <c r="C29">
        <f>B29+C29</f>
        <v/>
      </c>
    </row>
    <row r="30">
      <c r="A30">
        <f>Inputs!B13*(1+Inputs!B18)^29</f>
        <v/>
      </c>
      <c r="B30">
        <f>B30*0.04</f>
        <v/>
      </c>
      <c r="C30">
        <f>B30+C30</f>
        <v/>
      </c>
    </row>
    <row r="31">
      <c r="A31">
        <f>Inputs!B13*(1+Inputs!B18)^30</f>
        <v/>
      </c>
      <c r="B31">
        <f>B31*0.04</f>
        <v/>
      </c>
      <c r="C31">
        <f>B31+C31</f>
        <v/>
      </c>
    </row>
    <row r="32">
      <c r="A32">
        <f>Inputs!B13*(1+Inputs!B18)^31</f>
        <v/>
      </c>
      <c r="B32">
        <f>B32*0.04</f>
        <v/>
      </c>
      <c r="C32">
        <f>B32+C32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2025-09-19T02:20:51Z</dcterms:created>
  <dcterms:modified xmlns:dcterms="http://purl.org/dc/terms/" xmlns:xsi="http://www.w3.org/2001/XMLSchema-instance" xsi:type="dcterms:W3CDTF">2025-09-19T02:23:26Z</dcterms:modified>
</cp:coreProperties>
</file>