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gneet\Downloads\"/>
    </mc:Choice>
  </mc:AlternateContent>
  <xr:revisionPtr revIDLastSave="0" documentId="13_ncr:1_{8B5BB10F-CFFB-4ECA-9857-70A7D960F3D8}" xr6:coauthVersionLast="47" xr6:coauthVersionMax="47" xr10:uidLastSave="{00000000-0000-0000-0000-000000000000}"/>
  <bookViews>
    <workbookView xWindow="-108" yWindow="-108" windowWidth="39096" windowHeight="25416" activeTab="1" xr2:uid="{00000000-000D-0000-FFFF-FFFF00000000}"/>
  </bookViews>
  <sheets>
    <sheet name="Inputs" sheetId="1" r:id="rId1"/>
    <sheet name="Projecti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2" i="2"/>
  <c r="B8" i="3"/>
  <c r="B7" i="3"/>
  <c r="B9" i="3" s="1"/>
  <c r="B6" i="3"/>
  <c r="B5" i="3"/>
  <c r="B4" i="3"/>
  <c r="B3" i="3"/>
  <c r="B30" i="1"/>
  <c r="B29" i="1"/>
  <c r="B2" i="3" s="1"/>
</calcChain>
</file>

<file path=xl/sharedStrings.xml><?xml version="1.0" encoding="utf-8"?>
<sst xmlns="http://schemas.openxmlformats.org/spreadsheetml/2006/main" count="57" uniqueCount="57">
  <si>
    <t>Reference date (year)</t>
  </si>
  <si>
    <t>Current age (you)</t>
  </si>
  <si>
    <t>Partner current age</t>
  </si>
  <si>
    <t>Planned retirement age</t>
  </si>
  <si>
    <t>Your expected lifespan</t>
  </si>
  <si>
    <t>Partner expected lifespan</t>
  </si>
  <si>
    <t>Current home value</t>
  </si>
  <si>
    <t>Outstanding mortgage</t>
  </si>
  <si>
    <t>Annual mortgage rate</t>
  </si>
  <si>
    <t>Years left on mortgage</t>
  </si>
  <si>
    <t>Current Cash/Savings</t>
  </si>
  <si>
    <t>Stock portfolio</t>
  </si>
  <si>
    <t>Current Super balance</t>
  </si>
  <si>
    <t>Annual salary (you)</t>
  </si>
  <si>
    <t>Partner annual salary</t>
  </si>
  <si>
    <t>% of income saved</t>
  </si>
  <si>
    <t>Monthly stock contributions</t>
  </si>
  <si>
    <t>Annual inflation</t>
  </si>
  <si>
    <t>Annual investment return (stocks)</t>
  </si>
  <si>
    <t>Return on cash/savings</t>
  </si>
  <si>
    <t>Safe withdrawal rate</t>
  </si>
  <si>
    <t>Super growth % (investment)</t>
  </si>
  <si>
    <t>Super employer rate (SG%)</t>
  </si>
  <si>
    <t>ASFA comfortable couple annual (today)</t>
  </si>
  <si>
    <t>Age Pension full couple annual (today)</t>
  </si>
  <si>
    <t>Age Pension homeowner couple asset threshold (today)</t>
  </si>
  <si>
    <t>Age Pension income threshold (couple, annual)</t>
  </si>
  <si>
    <t>Use income test? (1=yes,0=no)</t>
  </si>
  <si>
    <t>Years to Retirement (calc)</t>
  </si>
  <si>
    <t>Years in Retirement (you) (calc)</t>
  </si>
  <si>
    <t>Year</t>
  </si>
  <si>
    <t>You Age</t>
  </si>
  <si>
    <t>Partner Age</t>
  </si>
  <si>
    <t>Start Invest Balance (ex home)</t>
  </si>
  <si>
    <t>Contributions This Year</t>
  </si>
  <si>
    <t>Investment Growth This Year</t>
  </si>
  <si>
    <t>Super Balance</t>
  </si>
  <si>
    <t>Stock Balance</t>
  </si>
  <si>
    <t>Cash Balance</t>
  </si>
  <si>
    <t>Total Invest Balance (ex home)</t>
  </si>
  <si>
    <t>Home Value</t>
  </si>
  <si>
    <t>Mortgage Balance</t>
  </si>
  <si>
    <t>Net Home Equity</t>
  </si>
  <si>
    <t>Retired? (1=yes)</t>
  </si>
  <si>
    <t>Required Annual Income (ASFA, inflation adj)</t>
  </si>
  <si>
    <t>Estimated Age Pension (annual)</t>
  </si>
  <si>
    <t>Withdrawals This Year (from invest balances)</t>
  </si>
  <si>
    <t>End Invest Balance (ex home)</t>
  </si>
  <si>
    <t>Key Outputs Summary</t>
  </si>
  <si>
    <t>Years to Retirement</t>
  </si>
  <si>
    <t>Home value at retirement (approx)</t>
  </si>
  <si>
    <t>Mortgage balance at retirement (approx)</t>
  </si>
  <si>
    <t>Net home equity at retirement (approx)</t>
  </si>
  <si>
    <t>Total invest assets at retirement (ex home)</t>
  </si>
  <si>
    <t>ASFA comfortable annual (inflation adj at retirement)</t>
  </si>
  <si>
    <t>Estimated Age Pension at retirement (annual)</t>
  </si>
  <si>
    <t>Required retirement corpus (4% SWR)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</si>
</sst>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2" applyNumberFormat="1" applyFont="1"/>
    <xf numFmtId="44" fontId="0" fillId="0" borderId="0" xfId="1" applyFont="1"/>
    <xf numFmtId="0" fontId="2" fillId="0" borderId="0" xfId="0" applyFont="1"/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Asset Build-up (Investments and Home)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Projection!$A$2:$A$55</c:f>
              <c:numCache>
                <c:formatCode>General</c:formatCode>
                <c:ptCount val="5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</c:numCache>
            </c:numRef>
          </c:cat>
          <c:val>
            <c:numRef>
              <c:f>Projection!$J$2:$J$55</c:f>
              <c:numCache>
                <c:formatCode>_("$"* #,##0.00_);_("$"* \(#,##0.00\);_("$"* "-"??_);_(@_)</c:formatCode>
                <c:ptCount val="54"/>
                <c:pt idx="0">
                  <c:v>172500</c:v>
                </c:pt>
                <c:pt idx="1">
                  <c:v>231678.2</c:v>
                </c:pt>
                <c:pt idx="2">
                  <c:v>294803.15999999997</c:v>
                </c:pt>
                <c:pt idx="3">
                  <c:v>362164.43</c:v>
                </c:pt>
                <c:pt idx="4">
                  <c:v>434074.26</c:v>
                </c:pt>
                <c:pt idx="5">
                  <c:v>510869.44</c:v>
                </c:pt>
                <c:pt idx="6">
                  <c:v>592913.35</c:v>
                </c:pt>
                <c:pt idx="7">
                  <c:v>680598.11</c:v>
                </c:pt>
                <c:pt idx="8">
                  <c:v>774346.95</c:v>
                </c:pt>
                <c:pt idx="9">
                  <c:v>874616.8</c:v>
                </c:pt>
                <c:pt idx="10">
                  <c:v>981901.05</c:v>
                </c:pt>
                <c:pt idx="11">
                  <c:v>1096732.58</c:v>
                </c:pt>
                <c:pt idx="12">
                  <c:v>1219687.02</c:v>
                </c:pt>
                <c:pt idx="13">
                  <c:v>1351386.32</c:v>
                </c:pt>
                <c:pt idx="14">
                  <c:v>1492502.59</c:v>
                </c:pt>
                <c:pt idx="15">
                  <c:v>1643762.31</c:v>
                </c:pt>
                <c:pt idx="16">
                  <c:v>1805950.82</c:v>
                </c:pt>
                <c:pt idx="17">
                  <c:v>1979917.27</c:v>
                </c:pt>
                <c:pt idx="18">
                  <c:v>2166579.98</c:v>
                </c:pt>
                <c:pt idx="19">
                  <c:v>2317972.2200000002</c:v>
                </c:pt>
                <c:pt idx="20">
                  <c:v>2347659.38</c:v>
                </c:pt>
                <c:pt idx="21">
                  <c:v>2380420.2200000002</c:v>
                </c:pt>
                <c:pt idx="22">
                  <c:v>2416756.92</c:v>
                </c:pt>
                <c:pt idx="23">
                  <c:v>2457231</c:v>
                </c:pt>
                <c:pt idx="24">
                  <c:v>2502430.6</c:v>
                </c:pt>
                <c:pt idx="25">
                  <c:v>2548634.92</c:v>
                </c:pt>
                <c:pt idx="26">
                  <c:v>2595997.5499999998</c:v>
                </c:pt>
                <c:pt idx="27">
                  <c:v>2644698.6800000002</c:v>
                </c:pt>
                <c:pt idx="28">
                  <c:v>2694948.57</c:v>
                </c:pt>
                <c:pt idx="29">
                  <c:v>2746991.55</c:v>
                </c:pt>
                <c:pt idx="30">
                  <c:v>2801110.4</c:v>
                </c:pt>
                <c:pt idx="31">
                  <c:v>2857631.18</c:v>
                </c:pt>
                <c:pt idx="32">
                  <c:v>2915802.11</c:v>
                </c:pt>
                <c:pt idx="33">
                  <c:v>2973237.95</c:v>
                </c:pt>
                <c:pt idx="34">
                  <c:v>3029693.43</c:v>
                </c:pt>
                <c:pt idx="35">
                  <c:v>3084895.83</c:v>
                </c:pt>
                <c:pt idx="36">
                  <c:v>3138542.34</c:v>
                </c:pt>
                <c:pt idx="37">
                  <c:v>3190297.21</c:v>
                </c:pt>
                <c:pt idx="38">
                  <c:v>3239788.6</c:v>
                </c:pt>
                <c:pt idx="39">
                  <c:v>3286605.15</c:v>
                </c:pt>
                <c:pt idx="40">
                  <c:v>3330292.27</c:v>
                </c:pt>
                <c:pt idx="41">
                  <c:v>3370348</c:v>
                </c:pt>
                <c:pt idx="42">
                  <c:v>3406218.63</c:v>
                </c:pt>
                <c:pt idx="43">
                  <c:v>3437293.8</c:v>
                </c:pt>
                <c:pt idx="44">
                  <c:v>3462901.19</c:v>
                </c:pt>
                <c:pt idx="45">
                  <c:v>3482300.79</c:v>
                </c:pt>
                <c:pt idx="46">
                  <c:v>3494678.5</c:v>
                </c:pt>
                <c:pt idx="47">
                  <c:v>3499139.32</c:v>
                </c:pt>
                <c:pt idx="48">
                  <c:v>3494699.81</c:v>
                </c:pt>
                <c:pt idx="49">
                  <c:v>3480279.88</c:v>
                </c:pt>
                <c:pt idx="50">
                  <c:v>3454693.87</c:v>
                </c:pt>
                <c:pt idx="51">
                  <c:v>3416640.78</c:v>
                </c:pt>
                <c:pt idx="52">
                  <c:v>3364693.66</c:v>
                </c:pt>
                <c:pt idx="53">
                  <c:v>3297287.94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9-4E88-8A61-FF1A39781C6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Projection!$A$2:$A$55</c:f>
              <c:numCache>
                <c:formatCode>General</c:formatCode>
                <c:ptCount val="5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</c:numCache>
            </c:numRef>
          </c:cat>
          <c:val>
            <c:numRef>
              <c:f>Projection!$K$2:$K$55</c:f>
              <c:numCache>
                <c:formatCode>_("$"* #,##0.00_);_("$"* \(#,##0.00\);_("$"* "-"??_);_(@_)</c:formatCode>
                <c:ptCount val="54"/>
                <c:pt idx="0">
                  <c:v>700000</c:v>
                </c:pt>
                <c:pt idx="1">
                  <c:v>721000</c:v>
                </c:pt>
                <c:pt idx="2">
                  <c:v>742630</c:v>
                </c:pt>
                <c:pt idx="3">
                  <c:v>764908.9</c:v>
                </c:pt>
                <c:pt idx="4">
                  <c:v>787856.17</c:v>
                </c:pt>
                <c:pt idx="5">
                  <c:v>811491.86</c:v>
                </c:pt>
                <c:pt idx="6">
                  <c:v>835836.62</c:v>
                </c:pt>
                <c:pt idx="7">
                  <c:v>860911.72</c:v>
                </c:pt>
                <c:pt idx="8">
                  <c:v>886739.07</c:v>
                </c:pt>
                <c:pt idx="9">
                  <c:v>913341.24</c:v>
                </c:pt>
                <c:pt idx="10">
                  <c:v>940741.48</c:v>
                </c:pt>
                <c:pt idx="11">
                  <c:v>968963.72</c:v>
                </c:pt>
                <c:pt idx="12">
                  <c:v>998032.63</c:v>
                </c:pt>
                <c:pt idx="13">
                  <c:v>1027973.61</c:v>
                </c:pt>
                <c:pt idx="14">
                  <c:v>1058812.82</c:v>
                </c:pt>
                <c:pt idx="15">
                  <c:v>1090577.2</c:v>
                </c:pt>
                <c:pt idx="16">
                  <c:v>1123294.52</c:v>
                </c:pt>
                <c:pt idx="17">
                  <c:v>1156993.3600000001</c:v>
                </c:pt>
                <c:pt idx="18">
                  <c:v>1191703.1599999999</c:v>
                </c:pt>
                <c:pt idx="19">
                  <c:v>1227454.25</c:v>
                </c:pt>
                <c:pt idx="20">
                  <c:v>1264277.8799999999</c:v>
                </c:pt>
                <c:pt idx="21">
                  <c:v>1302206.22</c:v>
                </c:pt>
                <c:pt idx="22">
                  <c:v>1341272.4099999999</c:v>
                </c:pt>
                <c:pt idx="23">
                  <c:v>1381510.58</c:v>
                </c:pt>
                <c:pt idx="24">
                  <c:v>1422955.9</c:v>
                </c:pt>
                <c:pt idx="25">
                  <c:v>1465644.58</c:v>
                </c:pt>
                <c:pt idx="26">
                  <c:v>1509613.92</c:v>
                </c:pt>
                <c:pt idx="27">
                  <c:v>1554902.34</c:v>
                </c:pt>
                <c:pt idx="28">
                  <c:v>1601549.41</c:v>
                </c:pt>
                <c:pt idx="29">
                  <c:v>1649595.89</c:v>
                </c:pt>
                <c:pt idx="30">
                  <c:v>1699083.77</c:v>
                </c:pt>
                <c:pt idx="31">
                  <c:v>1750056.28</c:v>
                </c:pt>
                <c:pt idx="32">
                  <c:v>1802557.97</c:v>
                </c:pt>
                <c:pt idx="33">
                  <c:v>1856634.71</c:v>
                </c:pt>
                <c:pt idx="34">
                  <c:v>1912333.75</c:v>
                </c:pt>
                <c:pt idx="35">
                  <c:v>1969703.76</c:v>
                </c:pt>
                <c:pt idx="36">
                  <c:v>2028794.87</c:v>
                </c:pt>
                <c:pt idx="37">
                  <c:v>2089658.72</c:v>
                </c:pt>
                <c:pt idx="38">
                  <c:v>2152348.48</c:v>
                </c:pt>
                <c:pt idx="39">
                  <c:v>2216918.9300000002</c:v>
                </c:pt>
                <c:pt idx="40">
                  <c:v>2283426.5</c:v>
                </c:pt>
                <c:pt idx="41">
                  <c:v>2351929.29</c:v>
                </c:pt>
                <c:pt idx="42">
                  <c:v>2422487.17</c:v>
                </c:pt>
                <c:pt idx="43">
                  <c:v>2495161.79</c:v>
                </c:pt>
                <c:pt idx="44">
                  <c:v>2570016.64</c:v>
                </c:pt>
                <c:pt idx="45">
                  <c:v>2647117.14</c:v>
                </c:pt>
                <c:pt idx="46">
                  <c:v>2726530.65</c:v>
                </c:pt>
                <c:pt idx="47">
                  <c:v>2808326.57</c:v>
                </c:pt>
                <c:pt idx="48">
                  <c:v>2892576.37</c:v>
                </c:pt>
                <c:pt idx="49">
                  <c:v>2979353.66</c:v>
                </c:pt>
                <c:pt idx="50">
                  <c:v>3068734.27</c:v>
                </c:pt>
                <c:pt idx="51">
                  <c:v>3160796.3</c:v>
                </c:pt>
                <c:pt idx="52">
                  <c:v>3255620.19</c:v>
                </c:pt>
                <c:pt idx="53">
                  <c:v>3353288.8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9-4E88-8A61-FF1A39781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AUD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Retirement Cashflow (required, pension, withdrawals)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numRef>
              <c:f>Projection!$A$2:$A$55</c:f>
              <c:numCache>
                <c:formatCode>General</c:formatCode>
                <c:ptCount val="5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</c:numCache>
            </c:numRef>
          </c:cat>
          <c:val>
            <c:numRef>
              <c:f>Projection!$O$2:$O$55</c:f>
              <c:numCache>
                <c:formatCode>_("$"* #,##0.00_);_("$"* \(#,##0.00\);_("$"* "-"??_);_(@_)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128060.3</c:v>
                </c:pt>
                <c:pt idx="20">
                  <c:v>131902.10999999999</c:v>
                </c:pt>
                <c:pt idx="21">
                  <c:v>135859.17000000001</c:v>
                </c:pt>
                <c:pt idx="22">
                  <c:v>139934.95000000001</c:v>
                </c:pt>
                <c:pt idx="23">
                  <c:v>144133</c:v>
                </c:pt>
                <c:pt idx="24">
                  <c:v>148456.99</c:v>
                </c:pt>
                <c:pt idx="25">
                  <c:v>152910.70000000001</c:v>
                </c:pt>
                <c:pt idx="26">
                  <c:v>157498.01999999999</c:v>
                </c:pt>
                <c:pt idx="27">
                  <c:v>162222.96</c:v>
                </c:pt>
                <c:pt idx="28">
                  <c:v>167089.65</c:v>
                </c:pt>
                <c:pt idx="29">
                  <c:v>172102.34</c:v>
                </c:pt>
                <c:pt idx="30">
                  <c:v>177265.41</c:v>
                </c:pt>
                <c:pt idx="31">
                  <c:v>182583.37</c:v>
                </c:pt>
                <c:pt idx="32">
                  <c:v>188060.87</c:v>
                </c:pt>
                <c:pt idx="33">
                  <c:v>193702.69</c:v>
                </c:pt>
                <c:pt idx="34">
                  <c:v>199513.78</c:v>
                </c:pt>
                <c:pt idx="35">
                  <c:v>205499.19</c:v>
                </c:pt>
                <c:pt idx="36">
                  <c:v>211664.16</c:v>
                </c:pt>
                <c:pt idx="37">
                  <c:v>218014.09</c:v>
                </c:pt>
                <c:pt idx="38">
                  <c:v>224554.51</c:v>
                </c:pt>
                <c:pt idx="39">
                  <c:v>231291.15</c:v>
                </c:pt>
                <c:pt idx="40">
                  <c:v>238229.88</c:v>
                </c:pt>
                <c:pt idx="41">
                  <c:v>245376.78</c:v>
                </c:pt>
                <c:pt idx="42">
                  <c:v>252738.08</c:v>
                </c:pt>
                <c:pt idx="43">
                  <c:v>260320.22</c:v>
                </c:pt>
                <c:pt idx="44">
                  <c:v>268129.83</c:v>
                </c:pt>
                <c:pt idx="45">
                  <c:v>276173.73</c:v>
                </c:pt>
                <c:pt idx="46">
                  <c:v>284458.94</c:v>
                </c:pt>
                <c:pt idx="47">
                  <c:v>292992.71000000002</c:v>
                </c:pt>
                <c:pt idx="48">
                  <c:v>301782.49</c:v>
                </c:pt>
                <c:pt idx="49">
                  <c:v>310835.96000000002</c:v>
                </c:pt>
                <c:pt idx="50">
                  <c:v>320161.03999999998</c:v>
                </c:pt>
                <c:pt idx="51">
                  <c:v>329765.87</c:v>
                </c:pt>
                <c:pt idx="52">
                  <c:v>339658.85</c:v>
                </c:pt>
                <c:pt idx="53">
                  <c:v>349848.61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F-4352-9EF9-0F845D481D7E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numRef>
              <c:f>Projection!$A$2:$A$55</c:f>
              <c:numCache>
                <c:formatCode>General</c:formatCode>
                <c:ptCount val="5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</c:numCache>
            </c:numRef>
          </c:cat>
          <c:val>
            <c:numRef>
              <c:f>Projection!$P$2:$P$55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F-4352-9EF9-0F845D481D7E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0"/>
          <c:cat>
            <c:numRef>
              <c:f>Projection!$A$2:$A$55</c:f>
              <c:numCache>
                <c:formatCode>General</c:formatCode>
                <c:ptCount val="5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</c:numCache>
            </c:numRef>
          </c:cat>
          <c:val>
            <c:numRef>
              <c:f>Projection!$Q$2:$Q$55</c:f>
              <c:numCache>
                <c:formatCode>_("$"* #,##0.00_);_("$"* \(#,##0.00\);_("$"* "-"??_);_(@_)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128060.3</c:v>
                </c:pt>
                <c:pt idx="20">
                  <c:v>131902.10999999999</c:v>
                </c:pt>
                <c:pt idx="21">
                  <c:v>135859.17000000001</c:v>
                </c:pt>
                <c:pt idx="22">
                  <c:v>139934.95000000001</c:v>
                </c:pt>
                <c:pt idx="23">
                  <c:v>144133</c:v>
                </c:pt>
                <c:pt idx="24">
                  <c:v>148456.99</c:v>
                </c:pt>
                <c:pt idx="25">
                  <c:v>152910.70000000001</c:v>
                </c:pt>
                <c:pt idx="26">
                  <c:v>157498.01999999999</c:v>
                </c:pt>
                <c:pt idx="27">
                  <c:v>162222.96</c:v>
                </c:pt>
                <c:pt idx="28">
                  <c:v>167089.65</c:v>
                </c:pt>
                <c:pt idx="29">
                  <c:v>172102.34</c:v>
                </c:pt>
                <c:pt idx="30">
                  <c:v>177265.41</c:v>
                </c:pt>
                <c:pt idx="31">
                  <c:v>182583.37</c:v>
                </c:pt>
                <c:pt idx="32">
                  <c:v>188060.87</c:v>
                </c:pt>
                <c:pt idx="33">
                  <c:v>193702.69</c:v>
                </c:pt>
                <c:pt idx="34">
                  <c:v>199513.78</c:v>
                </c:pt>
                <c:pt idx="35">
                  <c:v>205499.19</c:v>
                </c:pt>
                <c:pt idx="36">
                  <c:v>211664.16</c:v>
                </c:pt>
                <c:pt idx="37">
                  <c:v>218014.09</c:v>
                </c:pt>
                <c:pt idx="38">
                  <c:v>224554.51</c:v>
                </c:pt>
                <c:pt idx="39">
                  <c:v>231291.15</c:v>
                </c:pt>
                <c:pt idx="40">
                  <c:v>238229.88</c:v>
                </c:pt>
                <c:pt idx="41">
                  <c:v>245376.78</c:v>
                </c:pt>
                <c:pt idx="42">
                  <c:v>252738.08</c:v>
                </c:pt>
                <c:pt idx="43">
                  <c:v>260320.22</c:v>
                </c:pt>
                <c:pt idx="44">
                  <c:v>268129.83</c:v>
                </c:pt>
                <c:pt idx="45">
                  <c:v>276173.73</c:v>
                </c:pt>
                <c:pt idx="46">
                  <c:v>284458.94</c:v>
                </c:pt>
                <c:pt idx="47">
                  <c:v>292992.71000000002</c:v>
                </c:pt>
                <c:pt idx="48">
                  <c:v>301782.49</c:v>
                </c:pt>
                <c:pt idx="49">
                  <c:v>310835.96000000002</c:v>
                </c:pt>
                <c:pt idx="50">
                  <c:v>320161.03999999998</c:v>
                </c:pt>
                <c:pt idx="51">
                  <c:v>329765.87</c:v>
                </c:pt>
                <c:pt idx="52">
                  <c:v>339658.85</c:v>
                </c:pt>
                <c:pt idx="53">
                  <c:v>349848.61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F-4352-9EF9-0F845D481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19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23" sqref="B23"/>
    </sheetView>
  </sheetViews>
  <sheetFormatPr defaultRowHeight="14.4" x14ac:dyDescent="0.3"/>
  <cols>
    <col min="1" max="1" width="45" customWidth="1"/>
    <col min="2" max="2" width="20" customWidth="1"/>
  </cols>
  <sheetData>
    <row r="1" spans="1:2" x14ac:dyDescent="0.3">
      <c r="A1" t="s">
        <v>0</v>
      </c>
      <c r="B1">
        <v>2025</v>
      </c>
    </row>
    <row r="2" spans="1:2" x14ac:dyDescent="0.3">
      <c r="A2" t="s">
        <v>1</v>
      </c>
      <c r="B2">
        <v>49</v>
      </c>
    </row>
    <row r="3" spans="1:2" x14ac:dyDescent="0.3">
      <c r="A3" t="s">
        <v>2</v>
      </c>
      <c r="B3">
        <v>46</v>
      </c>
    </row>
    <row r="4" spans="1:2" x14ac:dyDescent="0.3">
      <c r="A4" t="s">
        <v>3</v>
      </c>
      <c r="B4">
        <v>68</v>
      </c>
    </row>
    <row r="5" spans="1:2" x14ac:dyDescent="0.3">
      <c r="A5" t="s">
        <v>4</v>
      </c>
      <c r="B5">
        <v>95</v>
      </c>
    </row>
    <row r="6" spans="1:2" x14ac:dyDescent="0.3">
      <c r="A6" t="s">
        <v>5</v>
      </c>
      <c r="B6">
        <v>99</v>
      </c>
    </row>
    <row r="7" spans="1:2" x14ac:dyDescent="0.3">
      <c r="A7" t="s">
        <v>6</v>
      </c>
      <c r="B7" s="2">
        <v>700000</v>
      </c>
    </row>
    <row r="8" spans="1:2" x14ac:dyDescent="0.3">
      <c r="A8" t="s">
        <v>7</v>
      </c>
      <c r="B8" s="2">
        <v>500000</v>
      </c>
    </row>
    <row r="9" spans="1:2" x14ac:dyDescent="0.3">
      <c r="A9" t="s">
        <v>8</v>
      </c>
      <c r="B9" s="1">
        <v>5.2699999999999997E-2</v>
      </c>
    </row>
    <row r="10" spans="1:2" x14ac:dyDescent="0.3">
      <c r="A10" t="s">
        <v>9</v>
      </c>
      <c r="B10">
        <v>25.3</v>
      </c>
    </row>
    <row r="11" spans="1:2" x14ac:dyDescent="0.3">
      <c r="A11" t="s">
        <v>10</v>
      </c>
      <c r="B11" s="2">
        <v>55000</v>
      </c>
    </row>
    <row r="12" spans="1:2" x14ac:dyDescent="0.3">
      <c r="A12" t="s">
        <v>11</v>
      </c>
      <c r="B12" s="2">
        <v>62000</v>
      </c>
    </row>
    <row r="13" spans="1:2" x14ac:dyDescent="0.3">
      <c r="A13" t="s">
        <v>12</v>
      </c>
      <c r="B13" s="2">
        <v>300000</v>
      </c>
    </row>
    <row r="14" spans="1:2" x14ac:dyDescent="0.3">
      <c r="A14" t="s">
        <v>13</v>
      </c>
      <c r="B14" s="2">
        <v>140000</v>
      </c>
    </row>
    <row r="15" spans="1:2" x14ac:dyDescent="0.3">
      <c r="A15" t="s">
        <v>14</v>
      </c>
      <c r="B15" s="2">
        <v>36000</v>
      </c>
    </row>
    <row r="16" spans="1:2" x14ac:dyDescent="0.3">
      <c r="A16" t="s">
        <v>15</v>
      </c>
      <c r="B16" s="1">
        <v>0.1</v>
      </c>
    </row>
    <row r="17" spans="1:2" x14ac:dyDescent="0.3">
      <c r="A17" t="s">
        <v>16</v>
      </c>
      <c r="B17" s="2">
        <v>1000</v>
      </c>
    </row>
    <row r="18" spans="1:2" x14ac:dyDescent="0.3">
      <c r="A18" t="s">
        <v>17</v>
      </c>
      <c r="B18" s="1">
        <v>0.03</v>
      </c>
    </row>
    <row r="19" spans="1:2" x14ac:dyDescent="0.3">
      <c r="A19" t="s">
        <v>18</v>
      </c>
      <c r="B19" s="1">
        <v>7.0000000000000007E-2</v>
      </c>
    </row>
    <row r="20" spans="1:2" x14ac:dyDescent="0.3">
      <c r="A20" t="s">
        <v>19</v>
      </c>
      <c r="B20" s="1">
        <v>0.04</v>
      </c>
    </row>
    <row r="21" spans="1:2" x14ac:dyDescent="0.3">
      <c r="A21" t="s">
        <v>20</v>
      </c>
      <c r="B21" s="1">
        <v>0.04</v>
      </c>
    </row>
    <row r="22" spans="1:2" x14ac:dyDescent="0.3">
      <c r="A22" t="s">
        <v>21</v>
      </c>
      <c r="B22" s="1">
        <f>(9%/12)</f>
        <v>7.4999999999999997E-3</v>
      </c>
    </row>
    <row r="23" spans="1:2" x14ac:dyDescent="0.3">
      <c r="A23" t="s">
        <v>22</v>
      </c>
      <c r="B23" s="1">
        <v>0.11</v>
      </c>
    </row>
    <row r="24" spans="1:2" x14ac:dyDescent="0.3">
      <c r="A24" t="s">
        <v>23</v>
      </c>
      <c r="B24" s="2">
        <v>73031</v>
      </c>
    </row>
    <row r="25" spans="1:2" x14ac:dyDescent="0.3">
      <c r="A25" t="s">
        <v>24</v>
      </c>
      <c r="B25" s="2">
        <v>46202</v>
      </c>
    </row>
    <row r="26" spans="1:2" x14ac:dyDescent="0.3">
      <c r="A26" t="s">
        <v>25</v>
      </c>
      <c r="B26" s="2">
        <v>481500</v>
      </c>
    </row>
    <row r="27" spans="1:2" x14ac:dyDescent="0.3">
      <c r="A27" t="s">
        <v>26</v>
      </c>
      <c r="B27" s="2">
        <v>8736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f>B4-B2</f>
        <v>19</v>
      </c>
    </row>
    <row r="30" spans="1:2" x14ac:dyDescent="0.3">
      <c r="A30" t="s">
        <v>29</v>
      </c>
      <c r="B30">
        <f>B5-B4</f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5"/>
  <sheetViews>
    <sheetView tabSelected="1" workbookViewId="0">
      <selection activeCell="A26" sqref="A26:XFD26"/>
    </sheetView>
  </sheetViews>
  <sheetFormatPr defaultRowHeight="14.4" x14ac:dyDescent="0.3"/>
  <cols>
    <col min="1" max="1" width="5" bestFit="1" customWidth="1"/>
    <col min="2" max="2" width="7.5546875" bestFit="1" customWidth="1"/>
    <col min="3" max="3" width="10.44140625" bestFit="1" customWidth="1"/>
    <col min="4" max="4" width="17.33203125" bestFit="1" customWidth="1"/>
    <col min="5" max="5" width="15.77734375" bestFit="1" customWidth="1"/>
    <col min="6" max="6" width="16.77734375" bestFit="1" customWidth="1"/>
    <col min="7" max="7" width="14.88671875" bestFit="1" customWidth="1"/>
    <col min="8" max="8" width="13.88671875" bestFit="1" customWidth="1"/>
    <col min="9" max="9" width="12.33203125" bestFit="1" customWidth="1"/>
    <col min="10" max="10" width="17.6640625" bestFit="1" customWidth="1"/>
    <col min="11" max="11" width="13.88671875" bestFit="1" customWidth="1"/>
    <col min="12" max="12" width="15.88671875" bestFit="1" customWidth="1"/>
    <col min="13" max="13" width="14.88671875" bestFit="1" customWidth="1"/>
    <col min="14" max="14" width="14.109375" bestFit="1" customWidth="1"/>
    <col min="15" max="15" width="14.33203125" bestFit="1" customWidth="1"/>
    <col min="16" max="16" width="14.44140625" bestFit="1" customWidth="1"/>
    <col min="17" max="17" width="15" bestFit="1" customWidth="1"/>
    <col min="18" max="18" width="16.33203125" bestFit="1" customWidth="1"/>
  </cols>
  <sheetData>
    <row r="1" spans="1:18" ht="43.2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</row>
    <row r="2" spans="1:18" x14ac:dyDescent="0.3">
      <c r="A2">
        <v>2025</v>
      </c>
      <c r="B2">
        <v>49</v>
      </c>
      <c r="C2">
        <v>46</v>
      </c>
      <c r="D2" s="2">
        <v>172500</v>
      </c>
      <c r="E2" s="2">
        <v>48960</v>
      </c>
      <c r="F2" s="2">
        <v>6540</v>
      </c>
      <c r="G2" s="2">
        <f>308000</f>
        <v>308000</v>
      </c>
      <c r="H2" s="2">
        <v>78340</v>
      </c>
      <c r="I2" s="2">
        <v>74800</v>
      </c>
      <c r="J2" s="2">
        <v>172500</v>
      </c>
      <c r="K2" s="2">
        <v>700000</v>
      </c>
      <c r="L2" s="2">
        <v>490552.7</v>
      </c>
      <c r="M2" s="2">
        <v>209447.3</v>
      </c>
      <c r="N2">
        <v>0</v>
      </c>
      <c r="O2" s="2">
        <v>0</v>
      </c>
      <c r="P2">
        <v>0</v>
      </c>
      <c r="Q2" s="2">
        <v>0</v>
      </c>
      <c r="R2" s="2">
        <v>172500</v>
      </c>
    </row>
    <row r="3" spans="1:18" x14ac:dyDescent="0.3">
      <c r="A3">
        <v>2026</v>
      </c>
      <c r="B3">
        <v>50</v>
      </c>
      <c r="C3">
        <v>47</v>
      </c>
      <c r="D3" s="2">
        <v>231678.2</v>
      </c>
      <c r="E3" s="2">
        <v>48960</v>
      </c>
      <c r="F3" s="2">
        <v>10218.200000000001</v>
      </c>
      <c r="G3" s="2">
        <f>(G2+26500)+(G2*Inputs!$B$22)</f>
        <v>336810</v>
      </c>
      <c r="H3" s="2">
        <v>95823.8</v>
      </c>
      <c r="I3" s="2">
        <v>95392</v>
      </c>
      <c r="J3" s="2">
        <v>231678.2</v>
      </c>
      <c r="K3" s="2">
        <v>721000</v>
      </c>
      <c r="L3" s="2">
        <v>480607.53</v>
      </c>
      <c r="M3" s="2">
        <v>240392.47</v>
      </c>
      <c r="N3">
        <v>0</v>
      </c>
      <c r="O3" s="2">
        <v>0</v>
      </c>
      <c r="P3">
        <v>0</v>
      </c>
      <c r="Q3" s="2">
        <v>0</v>
      </c>
      <c r="R3" s="2">
        <v>231678.2</v>
      </c>
    </row>
    <row r="4" spans="1:18" x14ac:dyDescent="0.3">
      <c r="A4">
        <v>2027</v>
      </c>
      <c r="B4">
        <v>51</v>
      </c>
      <c r="C4">
        <v>48</v>
      </c>
      <c r="D4" s="2">
        <v>294803.15999999997</v>
      </c>
      <c r="E4" s="2">
        <v>48960</v>
      </c>
      <c r="F4" s="2">
        <v>14164.96</v>
      </c>
      <c r="G4" s="2">
        <f>(G3+26500)+(G3*Inputs!$B$22)</f>
        <v>365836.07500000001</v>
      </c>
      <c r="H4" s="2">
        <v>114531.47</v>
      </c>
      <c r="I4" s="2">
        <v>116807.67999999999</v>
      </c>
      <c r="J4" s="2">
        <v>294803.15999999997</v>
      </c>
      <c r="K4" s="2">
        <v>742630</v>
      </c>
      <c r="L4" s="2">
        <v>470138.25</v>
      </c>
      <c r="M4" s="2">
        <v>272491.75</v>
      </c>
      <c r="N4">
        <v>0</v>
      </c>
      <c r="O4" s="2">
        <v>0</v>
      </c>
      <c r="P4">
        <v>0</v>
      </c>
      <c r="Q4" s="2">
        <v>0</v>
      </c>
      <c r="R4" s="2">
        <v>294803.15999999997</v>
      </c>
    </row>
    <row r="5" spans="1:18" x14ac:dyDescent="0.3">
      <c r="A5">
        <v>2028</v>
      </c>
      <c r="B5">
        <v>52</v>
      </c>
      <c r="C5">
        <v>49</v>
      </c>
      <c r="D5" s="2">
        <v>362164.43</v>
      </c>
      <c r="E5" s="2">
        <v>48960</v>
      </c>
      <c r="F5" s="2">
        <v>18401.27</v>
      </c>
      <c r="G5" s="2">
        <f>(G4+26500)+(G4*Inputs!$B$22)</f>
        <v>395079.84556250001</v>
      </c>
      <c r="H5" s="2">
        <v>134548.67000000001</v>
      </c>
      <c r="I5" s="2">
        <v>139079.99</v>
      </c>
      <c r="J5" s="2">
        <v>362164.43</v>
      </c>
      <c r="K5" s="2">
        <v>764908.9</v>
      </c>
      <c r="L5" s="2">
        <v>459117.24</v>
      </c>
      <c r="M5" s="2">
        <v>305791.65999999997</v>
      </c>
      <c r="N5">
        <v>0</v>
      </c>
      <c r="O5" s="2">
        <v>0</v>
      </c>
      <c r="P5">
        <v>0</v>
      </c>
      <c r="Q5" s="2">
        <v>0</v>
      </c>
      <c r="R5" s="2">
        <v>362164.43</v>
      </c>
    </row>
    <row r="6" spans="1:18" x14ac:dyDescent="0.3">
      <c r="A6">
        <v>2029</v>
      </c>
      <c r="B6">
        <v>53</v>
      </c>
      <c r="C6">
        <v>50</v>
      </c>
      <c r="D6" s="2">
        <v>434074.26</v>
      </c>
      <c r="E6" s="2">
        <v>48960</v>
      </c>
      <c r="F6" s="2">
        <v>22949.83</v>
      </c>
      <c r="G6" s="2">
        <f>(G5+26500)+(G5*Inputs!$B$22)</f>
        <v>424542.94440421875</v>
      </c>
      <c r="H6" s="2">
        <v>155967.07999999999</v>
      </c>
      <c r="I6" s="2">
        <v>162243.19</v>
      </c>
      <c r="J6" s="2">
        <v>434074.26</v>
      </c>
      <c r="K6" s="2">
        <v>787856.17</v>
      </c>
      <c r="L6" s="2">
        <v>447515.42</v>
      </c>
      <c r="M6" s="2">
        <v>340340.75</v>
      </c>
      <c r="N6">
        <v>0</v>
      </c>
      <c r="O6" s="2">
        <v>0</v>
      </c>
      <c r="P6">
        <v>0</v>
      </c>
      <c r="Q6" s="2">
        <v>0</v>
      </c>
      <c r="R6" s="2">
        <v>434074.26</v>
      </c>
    </row>
    <row r="7" spans="1:18" x14ac:dyDescent="0.3">
      <c r="A7">
        <v>2030</v>
      </c>
      <c r="B7">
        <v>54</v>
      </c>
      <c r="C7">
        <v>51</v>
      </c>
      <c r="D7" s="2">
        <v>510869.44</v>
      </c>
      <c r="E7" s="2">
        <v>48960</v>
      </c>
      <c r="F7" s="2">
        <v>27835.18</v>
      </c>
      <c r="G7" s="2">
        <f>(G6+26500)+(G6*Inputs!$B$22)</f>
        <v>454227.0164872504</v>
      </c>
      <c r="H7" s="2">
        <v>178884.77</v>
      </c>
      <c r="I7" s="2">
        <v>186332.91</v>
      </c>
      <c r="J7" s="2">
        <v>510869.44</v>
      </c>
      <c r="K7" s="2">
        <v>811491.86</v>
      </c>
      <c r="L7" s="2">
        <v>435302.18</v>
      </c>
      <c r="M7" s="2">
        <v>376189.67</v>
      </c>
      <c r="N7">
        <v>0</v>
      </c>
      <c r="O7" s="2">
        <v>0</v>
      </c>
      <c r="P7">
        <v>0</v>
      </c>
      <c r="Q7" s="2">
        <v>0</v>
      </c>
      <c r="R7" s="2">
        <v>510869.44</v>
      </c>
    </row>
    <row r="8" spans="1:18" x14ac:dyDescent="0.3">
      <c r="A8">
        <v>2031</v>
      </c>
      <c r="B8">
        <v>55</v>
      </c>
      <c r="C8">
        <v>52</v>
      </c>
      <c r="D8" s="2">
        <v>592913.35</v>
      </c>
      <c r="E8" s="2">
        <v>48960</v>
      </c>
      <c r="F8" s="2">
        <v>33083.910000000003</v>
      </c>
      <c r="G8" s="2">
        <f>(G7+26500)+(G7*Inputs!$B$22)</f>
        <v>484133.71911090479</v>
      </c>
      <c r="H8" s="2">
        <v>203406.7</v>
      </c>
      <c r="I8" s="2">
        <v>211386.23</v>
      </c>
      <c r="J8" s="2">
        <v>592913.35</v>
      </c>
      <c r="K8" s="2">
        <v>835836.62</v>
      </c>
      <c r="L8" s="2">
        <v>422445.31</v>
      </c>
      <c r="M8" s="2">
        <v>413391.31</v>
      </c>
      <c r="N8">
        <v>0</v>
      </c>
      <c r="O8" s="2">
        <v>0</v>
      </c>
      <c r="P8">
        <v>0</v>
      </c>
      <c r="Q8" s="2">
        <v>0</v>
      </c>
      <c r="R8" s="2">
        <v>592913.35</v>
      </c>
    </row>
    <row r="9" spans="1:18" x14ac:dyDescent="0.3">
      <c r="A9">
        <v>2032</v>
      </c>
      <c r="B9">
        <v>56</v>
      </c>
      <c r="C9">
        <v>53</v>
      </c>
      <c r="D9" s="2">
        <v>680598.11</v>
      </c>
      <c r="E9" s="2">
        <v>48960</v>
      </c>
      <c r="F9" s="2">
        <v>38724.76</v>
      </c>
      <c r="G9" s="2">
        <f>(G8+26500)+(G8*Inputs!$B$22)</f>
        <v>514264.7220042366</v>
      </c>
      <c r="H9" s="2">
        <v>229645.17</v>
      </c>
      <c r="I9" s="2">
        <v>237441.68</v>
      </c>
      <c r="J9" s="2">
        <v>680598.11</v>
      </c>
      <c r="K9" s="2">
        <v>860911.72</v>
      </c>
      <c r="L9" s="2">
        <v>408910.88</v>
      </c>
      <c r="M9" s="2">
        <v>452000.84</v>
      </c>
      <c r="N9">
        <v>0</v>
      </c>
      <c r="O9" s="2">
        <v>0</v>
      </c>
      <c r="P9">
        <v>0</v>
      </c>
      <c r="Q9" s="2">
        <v>0</v>
      </c>
      <c r="R9" s="2">
        <v>680598.11</v>
      </c>
    </row>
    <row r="10" spans="1:18" x14ac:dyDescent="0.3">
      <c r="A10">
        <v>2033</v>
      </c>
      <c r="B10">
        <v>57</v>
      </c>
      <c r="C10">
        <v>54</v>
      </c>
      <c r="D10" s="2">
        <v>774346.95</v>
      </c>
      <c r="E10" s="2">
        <v>48960</v>
      </c>
      <c r="F10" s="2">
        <v>44788.84</v>
      </c>
      <c r="G10" s="2">
        <f>(G9+26500)+(G9*Inputs!$B$22)</f>
        <v>544621.70741926844</v>
      </c>
      <c r="H10" s="2">
        <v>257720.34</v>
      </c>
      <c r="I10" s="2">
        <v>264539.34999999998</v>
      </c>
      <c r="J10" s="2">
        <v>774346.95</v>
      </c>
      <c r="K10" s="2">
        <v>886739.07</v>
      </c>
      <c r="L10" s="2">
        <v>394663.18</v>
      </c>
      <c r="M10" s="2">
        <v>492075.89</v>
      </c>
      <c r="N10">
        <v>0</v>
      </c>
      <c r="O10" s="2">
        <v>0</v>
      </c>
      <c r="P10">
        <v>0</v>
      </c>
      <c r="Q10" s="2">
        <v>0</v>
      </c>
      <c r="R10" s="2">
        <v>774346.95</v>
      </c>
    </row>
    <row r="11" spans="1:18" x14ac:dyDescent="0.3">
      <c r="A11">
        <v>2034</v>
      </c>
      <c r="B11">
        <v>58</v>
      </c>
      <c r="C11">
        <v>55</v>
      </c>
      <c r="D11" s="2">
        <v>874616.8</v>
      </c>
      <c r="E11" s="2">
        <v>48960</v>
      </c>
      <c r="F11" s="2">
        <v>51309.85</v>
      </c>
      <c r="G11" s="2">
        <f>(G10+26500)+(G10*Inputs!$B$22)</f>
        <v>575206.370224913</v>
      </c>
      <c r="H11" s="2">
        <v>287760.76</v>
      </c>
      <c r="I11" s="2">
        <v>292720.92</v>
      </c>
      <c r="J11" s="2">
        <v>874616.8</v>
      </c>
      <c r="K11" s="2">
        <v>913341.24</v>
      </c>
      <c r="L11" s="2">
        <v>379664.64000000001</v>
      </c>
      <c r="M11" s="2">
        <v>533676.61</v>
      </c>
      <c r="N11">
        <v>0</v>
      </c>
      <c r="O11" s="2">
        <v>0</v>
      </c>
      <c r="P11">
        <v>0</v>
      </c>
      <c r="Q11" s="2">
        <v>0</v>
      </c>
      <c r="R11" s="2">
        <v>874616.8</v>
      </c>
    </row>
    <row r="12" spans="1:18" x14ac:dyDescent="0.3">
      <c r="A12">
        <v>2035</v>
      </c>
      <c r="B12">
        <v>59</v>
      </c>
      <c r="C12">
        <v>56</v>
      </c>
      <c r="D12" s="2">
        <v>981901.05</v>
      </c>
      <c r="E12" s="2">
        <v>48960</v>
      </c>
      <c r="F12" s="2">
        <v>58324.25</v>
      </c>
      <c r="G12" s="2">
        <f>(G11+26500)+(G11*Inputs!$B$22)</f>
        <v>606020.41800159984</v>
      </c>
      <c r="H12" s="2">
        <v>319904.01</v>
      </c>
      <c r="I12" s="2">
        <v>322029.76</v>
      </c>
      <c r="J12" s="2">
        <v>981901.05</v>
      </c>
      <c r="K12" s="2">
        <v>940741.48</v>
      </c>
      <c r="L12" s="2">
        <v>363875.66</v>
      </c>
      <c r="M12" s="2">
        <v>576865.81000000006</v>
      </c>
      <c r="N12">
        <v>0</v>
      </c>
      <c r="O12" s="2">
        <v>0</v>
      </c>
      <c r="P12">
        <v>0</v>
      </c>
      <c r="Q12" s="2">
        <v>0</v>
      </c>
      <c r="R12" s="2">
        <v>981901.05</v>
      </c>
    </row>
    <row r="13" spans="1:18" x14ac:dyDescent="0.3">
      <c r="A13">
        <v>2036</v>
      </c>
      <c r="B13">
        <v>60</v>
      </c>
      <c r="C13">
        <v>57</v>
      </c>
      <c r="D13" s="2">
        <v>1096732.58</v>
      </c>
      <c r="E13" s="2">
        <v>48960</v>
      </c>
      <c r="F13" s="2">
        <v>65871.53</v>
      </c>
      <c r="G13" s="2">
        <f>(G12+26500)+(G12*Inputs!$B$22)</f>
        <v>637065.57113661186</v>
      </c>
      <c r="H13" s="2">
        <v>354297.29</v>
      </c>
      <c r="I13" s="2">
        <v>352510.95</v>
      </c>
      <c r="J13" s="2">
        <v>1096732.58</v>
      </c>
      <c r="K13" s="2">
        <v>968963.72</v>
      </c>
      <c r="L13" s="2">
        <v>347254.61</v>
      </c>
      <c r="M13" s="2">
        <v>621709.11</v>
      </c>
      <c r="N13">
        <v>0</v>
      </c>
      <c r="O13" s="2">
        <v>0</v>
      </c>
      <c r="P13">
        <v>0</v>
      </c>
      <c r="Q13" s="2">
        <v>0</v>
      </c>
      <c r="R13" s="2">
        <v>1096732.58</v>
      </c>
    </row>
    <row r="14" spans="1:18" x14ac:dyDescent="0.3">
      <c r="A14">
        <v>2037</v>
      </c>
      <c r="B14">
        <v>61</v>
      </c>
      <c r="C14">
        <v>58</v>
      </c>
      <c r="D14" s="2">
        <v>1219687.02</v>
      </c>
      <c r="E14" s="2">
        <v>48960</v>
      </c>
      <c r="F14" s="2">
        <v>73994.44</v>
      </c>
      <c r="G14" s="2">
        <f>(G13+26500)+(G13*Inputs!$B$22)</f>
        <v>668343.56292013649</v>
      </c>
      <c r="H14" s="2">
        <v>391098.1</v>
      </c>
      <c r="I14" s="2">
        <v>384211.39</v>
      </c>
      <c r="J14" s="2">
        <v>1219687.02</v>
      </c>
      <c r="K14" s="2">
        <v>998032.63</v>
      </c>
      <c r="L14" s="2">
        <v>329757.63</v>
      </c>
      <c r="M14" s="2">
        <v>668275</v>
      </c>
      <c r="N14">
        <v>0</v>
      </c>
      <c r="O14" s="2">
        <v>0</v>
      </c>
      <c r="P14">
        <v>0</v>
      </c>
      <c r="Q14" s="2">
        <v>0</v>
      </c>
      <c r="R14" s="2">
        <v>1219687.02</v>
      </c>
    </row>
    <row r="15" spans="1:18" x14ac:dyDescent="0.3">
      <c r="A15">
        <v>2038</v>
      </c>
      <c r="B15">
        <v>62</v>
      </c>
      <c r="C15">
        <v>59</v>
      </c>
      <c r="D15" s="2">
        <v>1351386.32</v>
      </c>
      <c r="E15" s="2">
        <v>48960</v>
      </c>
      <c r="F15" s="2">
        <v>82739.3</v>
      </c>
      <c r="G15" s="2">
        <f>(G14+26500)+(G14*Inputs!$B$22)</f>
        <v>699856.13964203757</v>
      </c>
      <c r="H15" s="2">
        <v>430474.97</v>
      </c>
      <c r="I15" s="2">
        <v>417179.84</v>
      </c>
      <c r="J15" s="2">
        <v>1351386.32</v>
      </c>
      <c r="K15" s="2">
        <v>1027973.61</v>
      </c>
      <c r="L15" s="2">
        <v>311338.56</v>
      </c>
      <c r="M15" s="2">
        <v>716635.04</v>
      </c>
      <c r="N15">
        <v>0</v>
      </c>
      <c r="O15" s="2">
        <v>0</v>
      </c>
      <c r="P15">
        <v>0</v>
      </c>
      <c r="Q15" s="2">
        <v>0</v>
      </c>
      <c r="R15" s="2">
        <v>1351386.32</v>
      </c>
    </row>
    <row r="16" spans="1:18" x14ac:dyDescent="0.3">
      <c r="A16">
        <v>2039</v>
      </c>
      <c r="B16">
        <v>63</v>
      </c>
      <c r="C16">
        <v>60</v>
      </c>
      <c r="D16" s="2">
        <v>1492502.59</v>
      </c>
      <c r="E16" s="2">
        <v>48960</v>
      </c>
      <c r="F16" s="2">
        <v>92156.28</v>
      </c>
      <c r="G16" s="2">
        <f>(G15+26500)+(G15*Inputs!$B$22)</f>
        <v>731605.0606893528</v>
      </c>
      <c r="H16" s="2">
        <v>472608.22</v>
      </c>
      <c r="I16" s="2">
        <v>451467.04</v>
      </c>
      <c r="J16" s="2">
        <v>1492502.59</v>
      </c>
      <c r="K16" s="2">
        <v>1058812.82</v>
      </c>
      <c r="L16" s="2">
        <v>291948.81</v>
      </c>
      <c r="M16" s="2">
        <v>766864.01</v>
      </c>
      <c r="N16">
        <v>0</v>
      </c>
      <c r="O16" s="2">
        <v>0</v>
      </c>
      <c r="P16">
        <v>0</v>
      </c>
      <c r="Q16" s="2">
        <v>0</v>
      </c>
      <c r="R16" s="2">
        <v>1492502.59</v>
      </c>
    </row>
    <row r="17" spans="1:18" x14ac:dyDescent="0.3">
      <c r="A17">
        <v>2040</v>
      </c>
      <c r="B17">
        <v>64</v>
      </c>
      <c r="C17">
        <v>61</v>
      </c>
      <c r="D17" s="2">
        <v>1643762.31</v>
      </c>
      <c r="E17" s="2">
        <v>48960</v>
      </c>
      <c r="F17" s="2">
        <v>102299.72</v>
      </c>
      <c r="G17" s="2">
        <f>(G16+26500)+(G16*Inputs!$B$22)</f>
        <v>763592.09864452295</v>
      </c>
      <c r="H17" s="2">
        <v>517690.8</v>
      </c>
      <c r="I17" s="2">
        <v>487125.72</v>
      </c>
      <c r="J17" s="2">
        <v>1643762.31</v>
      </c>
      <c r="K17" s="2">
        <v>1090577.2</v>
      </c>
      <c r="L17" s="2">
        <v>271537.21000000002</v>
      </c>
      <c r="M17" s="2">
        <v>819039.99</v>
      </c>
      <c r="N17">
        <v>0</v>
      </c>
      <c r="O17" s="2">
        <v>0</v>
      </c>
      <c r="P17">
        <v>0</v>
      </c>
      <c r="Q17" s="2">
        <v>0</v>
      </c>
      <c r="R17" s="2">
        <v>1643762.31</v>
      </c>
    </row>
    <row r="18" spans="1:18" x14ac:dyDescent="0.3">
      <c r="A18">
        <v>2041</v>
      </c>
      <c r="B18">
        <v>65</v>
      </c>
      <c r="C18">
        <v>62</v>
      </c>
      <c r="D18" s="2">
        <v>1805950.82</v>
      </c>
      <c r="E18" s="2">
        <v>48960</v>
      </c>
      <c r="F18" s="2">
        <v>113228.51</v>
      </c>
      <c r="G18" s="2">
        <f>(G17+26500)+(G17*Inputs!$B$22)</f>
        <v>795819.03938435682</v>
      </c>
      <c r="H18" s="2">
        <v>565929.15</v>
      </c>
      <c r="I18" s="2">
        <v>524210.75</v>
      </c>
      <c r="J18" s="2">
        <v>1805950.82</v>
      </c>
      <c r="K18" s="2">
        <v>1123294.52</v>
      </c>
      <c r="L18" s="2">
        <v>250049.93</v>
      </c>
      <c r="M18" s="2">
        <v>873244.59</v>
      </c>
      <c r="N18">
        <v>0</v>
      </c>
      <c r="O18" s="2">
        <v>0</v>
      </c>
      <c r="P18">
        <v>0</v>
      </c>
      <c r="Q18" s="2">
        <v>0</v>
      </c>
      <c r="R18" s="2">
        <v>1805950.82</v>
      </c>
    </row>
    <row r="19" spans="1:18" x14ac:dyDescent="0.3">
      <c r="A19">
        <v>2042</v>
      </c>
      <c r="B19">
        <v>66</v>
      </c>
      <c r="C19">
        <v>63</v>
      </c>
      <c r="D19" s="2">
        <v>1979917.27</v>
      </c>
      <c r="E19" s="2">
        <v>48960</v>
      </c>
      <c r="F19" s="2">
        <v>125006.45</v>
      </c>
      <c r="G19" s="2">
        <f>(G18+26500)+(G18*Inputs!$B$22)</f>
        <v>828287.68217973947</v>
      </c>
      <c r="H19" s="2">
        <v>617544.18999999994</v>
      </c>
      <c r="I19" s="2">
        <v>562779.18000000005</v>
      </c>
      <c r="J19" s="2">
        <v>1979917.27</v>
      </c>
      <c r="K19" s="2">
        <v>1156993.3600000001</v>
      </c>
      <c r="L19" s="2">
        <v>227430.26</v>
      </c>
      <c r="M19" s="2">
        <v>929563.1</v>
      </c>
      <c r="N19">
        <v>0</v>
      </c>
      <c r="O19" s="2">
        <v>0</v>
      </c>
      <c r="P19">
        <v>0</v>
      </c>
      <c r="Q19" s="2">
        <v>0</v>
      </c>
      <c r="R19" s="2">
        <v>1979917.27</v>
      </c>
    </row>
    <row r="20" spans="1:18" x14ac:dyDescent="0.3">
      <c r="A20">
        <v>2043</v>
      </c>
      <c r="B20">
        <v>67</v>
      </c>
      <c r="C20">
        <v>64</v>
      </c>
      <c r="D20" s="2">
        <v>2166579.98</v>
      </c>
      <c r="E20" s="2">
        <v>48960</v>
      </c>
      <c r="F20" s="2">
        <v>137702.71</v>
      </c>
      <c r="G20" s="2">
        <f>(G19+26500)+(G19*Inputs!$B$22)</f>
        <v>860999.83979608747</v>
      </c>
      <c r="H20" s="2">
        <v>672772.28</v>
      </c>
      <c r="I20" s="2">
        <v>602890.34</v>
      </c>
      <c r="J20" s="2">
        <v>2166579.98</v>
      </c>
      <c r="K20" s="2">
        <v>1191703.1599999999</v>
      </c>
      <c r="L20" s="2">
        <v>203618.54</v>
      </c>
      <c r="M20" s="2">
        <v>988084.63</v>
      </c>
      <c r="N20">
        <v>0</v>
      </c>
      <c r="O20" s="2">
        <v>0</v>
      </c>
      <c r="P20">
        <v>0</v>
      </c>
      <c r="Q20" s="2">
        <v>0</v>
      </c>
      <c r="R20" s="2">
        <v>2166579.98</v>
      </c>
    </row>
    <row r="21" spans="1:18" x14ac:dyDescent="0.3">
      <c r="A21">
        <v>2044</v>
      </c>
      <c r="B21">
        <v>68</v>
      </c>
      <c r="C21">
        <v>65</v>
      </c>
      <c r="D21" s="2">
        <v>2317972.2200000002</v>
      </c>
      <c r="E21" s="2">
        <v>0</v>
      </c>
      <c r="F21" s="2">
        <v>151392.24</v>
      </c>
      <c r="G21" s="2">
        <f>(G20)+(G20*Inputs!$B$22)</f>
        <v>867457.33859455818</v>
      </c>
      <c r="H21" s="2">
        <v>719866.34</v>
      </c>
      <c r="I21" s="2">
        <v>627005.96</v>
      </c>
      <c r="J21" s="2">
        <v>2317972.2200000002</v>
      </c>
      <c r="K21" s="2">
        <v>1227454.25</v>
      </c>
      <c r="L21" s="2">
        <v>178551.93</v>
      </c>
      <c r="M21" s="2">
        <v>1048902.32</v>
      </c>
      <c r="N21">
        <v>1</v>
      </c>
      <c r="O21" s="2">
        <v>128060.3</v>
      </c>
      <c r="P21">
        <v>0</v>
      </c>
      <c r="Q21" s="2">
        <v>128060.3</v>
      </c>
      <c r="R21" s="2">
        <v>2189911.92</v>
      </c>
    </row>
    <row r="22" spans="1:18" x14ac:dyDescent="0.3">
      <c r="A22">
        <v>2045</v>
      </c>
      <c r="B22">
        <v>69</v>
      </c>
      <c r="C22">
        <v>66</v>
      </c>
      <c r="D22" s="2">
        <v>2347659.38</v>
      </c>
      <c r="E22" s="2">
        <v>0</v>
      </c>
      <c r="F22" s="2">
        <v>157747.46</v>
      </c>
      <c r="G22" s="2">
        <f>(G21)+(G21*Inputs!$B$22)</f>
        <v>873963.26863401732</v>
      </c>
      <c r="H22" s="2">
        <v>770256.99</v>
      </c>
      <c r="I22" s="2">
        <v>518903.48</v>
      </c>
      <c r="J22" s="2">
        <v>2347659.38</v>
      </c>
      <c r="K22" s="2">
        <v>1264277.8799999999</v>
      </c>
      <c r="L22" s="2">
        <v>152164.32</v>
      </c>
      <c r="M22" s="2">
        <v>1112113.55</v>
      </c>
      <c r="N22">
        <v>1</v>
      </c>
      <c r="O22" s="2">
        <v>131902.10999999999</v>
      </c>
      <c r="P22">
        <v>0</v>
      </c>
      <c r="Q22" s="2">
        <v>131902.10999999999</v>
      </c>
      <c r="R22" s="2">
        <v>2215757.27</v>
      </c>
    </row>
    <row r="23" spans="1:18" x14ac:dyDescent="0.3">
      <c r="A23">
        <v>2046</v>
      </c>
      <c r="B23">
        <v>70</v>
      </c>
      <c r="C23">
        <v>67</v>
      </c>
      <c r="D23" s="2">
        <v>2380420.2200000002</v>
      </c>
      <c r="E23" s="2">
        <v>0</v>
      </c>
      <c r="F23" s="2">
        <v>164662.95000000001</v>
      </c>
      <c r="G23" s="2">
        <f>(G22)+(G22*Inputs!$B$22)</f>
        <v>880517.99314877251</v>
      </c>
      <c r="H23" s="2">
        <v>824174.98</v>
      </c>
      <c r="I23" s="2">
        <v>402481.43</v>
      </c>
      <c r="J23" s="2">
        <v>2380420.2200000002</v>
      </c>
      <c r="K23" s="2">
        <v>1302206.22</v>
      </c>
      <c r="L23" s="2">
        <v>124386.08</v>
      </c>
      <c r="M23" s="2">
        <v>1177820.1299999999</v>
      </c>
      <c r="N23">
        <v>1</v>
      </c>
      <c r="O23" s="2">
        <v>135859.17000000001</v>
      </c>
      <c r="P23">
        <v>0</v>
      </c>
      <c r="Q23" s="2">
        <v>135859.17000000001</v>
      </c>
      <c r="R23" s="2">
        <v>2244561.04</v>
      </c>
    </row>
    <row r="24" spans="1:18" x14ac:dyDescent="0.3">
      <c r="A24">
        <v>2047</v>
      </c>
      <c r="B24">
        <v>71</v>
      </c>
      <c r="C24">
        <v>68</v>
      </c>
      <c r="D24" s="2">
        <v>2416756.92</v>
      </c>
      <c r="E24" s="2">
        <v>0</v>
      </c>
      <c r="F24" s="2">
        <v>172195.88</v>
      </c>
      <c r="G24" s="2">
        <f>(G23)+(G23*Inputs!$B$22)</f>
        <v>887121.87809738831</v>
      </c>
      <c r="H24" s="2">
        <v>881867.23</v>
      </c>
      <c r="I24" s="2">
        <v>277287.14</v>
      </c>
      <c r="J24" s="2">
        <v>2416756.92</v>
      </c>
      <c r="K24" s="2">
        <v>1341272.4099999999</v>
      </c>
      <c r="L24" s="2">
        <v>95143.93</v>
      </c>
      <c r="M24" s="2">
        <v>1246128.47</v>
      </c>
      <c r="N24">
        <v>1</v>
      </c>
      <c r="O24" s="2">
        <v>139934.95000000001</v>
      </c>
      <c r="P24">
        <v>0</v>
      </c>
      <c r="Q24" s="2">
        <v>139934.95000000001</v>
      </c>
      <c r="R24" s="2">
        <v>2276821.98</v>
      </c>
    </row>
    <row r="25" spans="1:18" x14ac:dyDescent="0.3">
      <c r="A25">
        <v>2048</v>
      </c>
      <c r="B25">
        <v>72</v>
      </c>
      <c r="C25">
        <v>69</v>
      </c>
      <c r="D25" s="2">
        <v>2457231</v>
      </c>
      <c r="E25" s="2">
        <v>0</v>
      </c>
      <c r="F25" s="2">
        <v>180409.02</v>
      </c>
      <c r="G25" s="2">
        <f>(G24)+(G24*Inputs!$B$22)</f>
        <v>893775.29218311876</v>
      </c>
      <c r="H25" s="2">
        <v>943597.93</v>
      </c>
      <c r="I25" s="2">
        <v>142846.28</v>
      </c>
      <c r="J25" s="2">
        <v>2457231</v>
      </c>
      <c r="K25" s="2">
        <v>1381510.58</v>
      </c>
      <c r="L25" s="2">
        <v>64360.72</v>
      </c>
      <c r="M25" s="2">
        <v>1317149.8600000001</v>
      </c>
      <c r="N25">
        <v>1</v>
      </c>
      <c r="O25" s="2">
        <v>144133</v>
      </c>
      <c r="P25">
        <v>0</v>
      </c>
      <c r="Q25" s="2">
        <v>144133</v>
      </c>
      <c r="R25" s="2">
        <v>2313098</v>
      </c>
    </row>
    <row r="26" spans="1:18" x14ac:dyDescent="0.3">
      <c r="A26">
        <v>2049</v>
      </c>
      <c r="B26">
        <v>73</v>
      </c>
      <c r="C26">
        <v>70</v>
      </c>
      <c r="D26" s="2">
        <v>2502430.6</v>
      </c>
      <c r="E26" s="2">
        <v>0</v>
      </c>
      <c r="F26" s="2">
        <v>189332.6</v>
      </c>
      <c r="G26" s="2">
        <f>(G25)+(G25*Inputs!$B$22)</f>
        <v>900478.60687449214</v>
      </c>
      <c r="H26" s="2">
        <v>1008273</v>
      </c>
      <c r="I26" s="2">
        <v>0</v>
      </c>
      <c r="J26" s="2">
        <v>2502430.6</v>
      </c>
      <c r="K26" s="2">
        <v>1422955.9</v>
      </c>
      <c r="L26" s="2">
        <v>31955.23</v>
      </c>
      <c r="M26" s="2">
        <v>1391000.67</v>
      </c>
      <c r="N26">
        <v>1</v>
      </c>
      <c r="O26" s="2">
        <v>148456.99</v>
      </c>
      <c r="P26">
        <v>0</v>
      </c>
      <c r="Q26" s="2">
        <v>148456.99</v>
      </c>
      <c r="R26" s="2">
        <v>2353973.61</v>
      </c>
    </row>
    <row r="27" spans="1:18" x14ac:dyDescent="0.3">
      <c r="A27">
        <v>2050</v>
      </c>
      <c r="B27">
        <v>74</v>
      </c>
      <c r="C27">
        <v>71</v>
      </c>
      <c r="D27" s="2">
        <v>2548634.92</v>
      </c>
      <c r="E27" s="2">
        <v>0</v>
      </c>
      <c r="F27" s="2">
        <v>194661.3</v>
      </c>
      <c r="G27" s="2">
        <f>(G26)+(G26*Inputs!$B$22)</f>
        <v>907232.19642605085</v>
      </c>
      <c r="H27" s="2">
        <v>920003.14</v>
      </c>
      <c r="I27" s="2">
        <v>0</v>
      </c>
      <c r="J27" s="2">
        <v>2548634.92</v>
      </c>
      <c r="K27" s="2">
        <v>1465644.58</v>
      </c>
      <c r="L27" s="2">
        <v>0</v>
      </c>
      <c r="M27" s="2">
        <v>1465644.58</v>
      </c>
      <c r="N27">
        <v>1</v>
      </c>
      <c r="O27" s="2">
        <v>152910.70000000001</v>
      </c>
      <c r="P27">
        <v>0</v>
      </c>
      <c r="Q27" s="2">
        <v>152910.70000000001</v>
      </c>
      <c r="R27" s="2">
        <v>2395724.2200000002</v>
      </c>
    </row>
    <row r="28" spans="1:18" x14ac:dyDescent="0.3">
      <c r="A28">
        <v>2051</v>
      </c>
      <c r="B28">
        <v>75</v>
      </c>
      <c r="C28">
        <v>72</v>
      </c>
      <c r="D28" s="2">
        <v>2595997.5499999998</v>
      </c>
      <c r="E28" s="2">
        <v>0</v>
      </c>
      <c r="F28" s="2">
        <v>200273.33</v>
      </c>
      <c r="G28" s="2">
        <f>(G27)+(G27*Inputs!$B$22)</f>
        <v>914036.43789924623</v>
      </c>
      <c r="H28" s="2">
        <v>820788.91</v>
      </c>
      <c r="I28" s="2">
        <v>0</v>
      </c>
      <c r="J28" s="2">
        <v>2595997.5499999998</v>
      </c>
      <c r="K28" s="2">
        <v>1509613.92</v>
      </c>
      <c r="L28" s="2">
        <v>0</v>
      </c>
      <c r="M28" s="2">
        <v>1509613.92</v>
      </c>
      <c r="N28">
        <v>1</v>
      </c>
      <c r="O28" s="2">
        <v>157498.01999999999</v>
      </c>
      <c r="P28">
        <v>0</v>
      </c>
      <c r="Q28" s="2">
        <v>157498.01999999999</v>
      </c>
      <c r="R28" s="2">
        <v>2438499.54</v>
      </c>
    </row>
    <row r="29" spans="1:18" x14ac:dyDescent="0.3">
      <c r="A29">
        <v>2052</v>
      </c>
      <c r="B29">
        <v>76</v>
      </c>
      <c r="C29">
        <v>73</v>
      </c>
      <c r="D29" s="2">
        <v>2644698.6800000002</v>
      </c>
      <c r="E29" s="2">
        <v>0</v>
      </c>
      <c r="F29" s="2">
        <v>206199.14</v>
      </c>
      <c r="G29" s="2">
        <f>(G28)+(G28*Inputs!$B$22)</f>
        <v>920891.71118349058</v>
      </c>
      <c r="H29" s="2">
        <v>709721.26</v>
      </c>
      <c r="I29" s="2">
        <v>0</v>
      </c>
      <c r="J29" s="2">
        <v>2644698.6800000002</v>
      </c>
      <c r="K29" s="2">
        <v>1554902.34</v>
      </c>
      <c r="L29" s="2">
        <v>0</v>
      </c>
      <c r="M29" s="2">
        <v>1554902.34</v>
      </c>
      <c r="N29">
        <v>1</v>
      </c>
      <c r="O29" s="2">
        <v>162222.96</v>
      </c>
      <c r="P29">
        <v>0</v>
      </c>
      <c r="Q29" s="2">
        <v>162222.96</v>
      </c>
      <c r="R29" s="2">
        <v>2482475.7200000002</v>
      </c>
    </row>
    <row r="30" spans="1:18" x14ac:dyDescent="0.3">
      <c r="A30">
        <v>2053</v>
      </c>
      <c r="B30">
        <v>77</v>
      </c>
      <c r="C30">
        <v>74</v>
      </c>
      <c r="D30" s="2">
        <v>2694948.57</v>
      </c>
      <c r="E30" s="2">
        <v>0</v>
      </c>
      <c r="F30" s="2">
        <v>212472.85</v>
      </c>
      <c r="G30" s="2">
        <f>(G29)+(G29*Inputs!$B$22)</f>
        <v>927798.39901736681</v>
      </c>
      <c r="H30" s="2">
        <v>585823.18000000005</v>
      </c>
      <c r="I30" s="2">
        <v>0</v>
      </c>
      <c r="J30" s="2">
        <v>2694948.57</v>
      </c>
      <c r="K30" s="2">
        <v>1601549.41</v>
      </c>
      <c r="L30" s="2">
        <v>0</v>
      </c>
      <c r="M30" s="2">
        <v>1601549.41</v>
      </c>
      <c r="N30">
        <v>1</v>
      </c>
      <c r="O30" s="2">
        <v>167089.65</v>
      </c>
      <c r="P30">
        <v>0</v>
      </c>
      <c r="Q30" s="2">
        <v>167089.65</v>
      </c>
      <c r="R30" s="2">
        <v>2527858.92</v>
      </c>
    </row>
    <row r="31" spans="1:18" x14ac:dyDescent="0.3">
      <c r="A31">
        <v>2054</v>
      </c>
      <c r="B31">
        <v>78</v>
      </c>
      <c r="C31">
        <v>75</v>
      </c>
      <c r="D31" s="2">
        <v>2746991.55</v>
      </c>
      <c r="E31" s="2">
        <v>0</v>
      </c>
      <c r="F31" s="2">
        <v>219132.63</v>
      </c>
      <c r="G31" s="2">
        <f>(G30)+(G30*Inputs!$B$22)</f>
        <v>934756.88700999704</v>
      </c>
      <c r="H31" s="2">
        <v>448044.89</v>
      </c>
      <c r="I31" s="2">
        <v>0</v>
      </c>
      <c r="J31" s="2">
        <v>2746991.55</v>
      </c>
      <c r="K31" s="2">
        <v>1649595.89</v>
      </c>
      <c r="L31" s="2">
        <v>0</v>
      </c>
      <c r="M31" s="2">
        <v>1649595.89</v>
      </c>
      <c r="N31">
        <v>1</v>
      </c>
      <c r="O31" s="2">
        <v>172102.34</v>
      </c>
      <c r="P31">
        <v>0</v>
      </c>
      <c r="Q31" s="2">
        <v>172102.34</v>
      </c>
      <c r="R31" s="2">
        <v>2574889.2200000002</v>
      </c>
    </row>
    <row r="32" spans="1:18" x14ac:dyDescent="0.3">
      <c r="A32">
        <v>2055</v>
      </c>
      <c r="B32">
        <v>79</v>
      </c>
      <c r="C32">
        <v>76</v>
      </c>
      <c r="D32" s="2">
        <v>2801110.4</v>
      </c>
      <c r="E32" s="2">
        <v>0</v>
      </c>
      <c r="F32" s="2">
        <v>226221.18</v>
      </c>
      <c r="G32" s="2">
        <f>(G31)+(G31*Inputs!$B$22)</f>
        <v>941767.56366257207</v>
      </c>
      <c r="H32" s="2">
        <v>295258.53000000003</v>
      </c>
      <c r="I32" s="2">
        <v>0</v>
      </c>
      <c r="J32" s="2">
        <v>2801110.4</v>
      </c>
      <c r="K32" s="2">
        <v>1699083.77</v>
      </c>
      <c r="L32" s="2">
        <v>0</v>
      </c>
      <c r="M32" s="2">
        <v>1699083.77</v>
      </c>
      <c r="N32">
        <v>1</v>
      </c>
      <c r="O32" s="2">
        <v>177265.41</v>
      </c>
      <c r="P32">
        <v>0</v>
      </c>
      <c r="Q32" s="2">
        <v>177265.41</v>
      </c>
      <c r="R32" s="2">
        <v>2623844.9900000002</v>
      </c>
    </row>
    <row r="33" spans="1:18" x14ac:dyDescent="0.3">
      <c r="A33">
        <v>2056</v>
      </c>
      <c r="B33">
        <v>80</v>
      </c>
      <c r="C33">
        <v>77</v>
      </c>
      <c r="D33" s="2">
        <v>2857631.18</v>
      </c>
      <c r="E33" s="2">
        <v>0</v>
      </c>
      <c r="F33" s="2">
        <v>233786.19</v>
      </c>
      <c r="G33" s="2">
        <f>(G32)+(G32*Inputs!$B$22)</f>
        <v>948830.82039004134</v>
      </c>
      <c r="H33" s="2">
        <v>126252.64</v>
      </c>
      <c r="I33" s="2">
        <v>0</v>
      </c>
      <c r="J33" s="2">
        <v>2857631.18</v>
      </c>
      <c r="K33" s="2">
        <v>1750056.28</v>
      </c>
      <c r="L33" s="2">
        <v>0</v>
      </c>
      <c r="M33" s="2">
        <v>1750056.28</v>
      </c>
      <c r="N33">
        <v>1</v>
      </c>
      <c r="O33" s="2">
        <v>182583.37</v>
      </c>
      <c r="P33">
        <v>0</v>
      </c>
      <c r="Q33" s="2">
        <v>182583.37</v>
      </c>
      <c r="R33" s="2">
        <v>2675047.81</v>
      </c>
    </row>
    <row r="34" spans="1:18" x14ac:dyDescent="0.3">
      <c r="A34">
        <v>2057</v>
      </c>
      <c r="B34">
        <v>81</v>
      </c>
      <c r="C34">
        <v>78</v>
      </c>
      <c r="D34" s="2">
        <v>2915802.11</v>
      </c>
      <c r="E34" s="2">
        <v>0</v>
      </c>
      <c r="F34" s="2">
        <v>240754.3</v>
      </c>
      <c r="G34" s="2">
        <f>(G33)+(G33*Inputs!$B$22)</f>
        <v>955947.05154296663</v>
      </c>
      <c r="H34" s="2">
        <v>0</v>
      </c>
      <c r="I34" s="2">
        <v>0</v>
      </c>
      <c r="J34" s="2">
        <v>2915802.11</v>
      </c>
      <c r="K34" s="2">
        <v>1802557.97</v>
      </c>
      <c r="L34" s="2">
        <v>0</v>
      </c>
      <c r="M34" s="2">
        <v>1802557.97</v>
      </c>
      <c r="N34">
        <v>1</v>
      </c>
      <c r="O34" s="2">
        <v>188060.87</v>
      </c>
      <c r="P34">
        <v>0</v>
      </c>
      <c r="Q34" s="2">
        <v>188060.87</v>
      </c>
      <c r="R34" s="2">
        <v>2727741.24</v>
      </c>
    </row>
    <row r="35" spans="1:18" x14ac:dyDescent="0.3">
      <c r="A35">
        <v>2058</v>
      </c>
      <c r="B35">
        <v>82</v>
      </c>
      <c r="C35">
        <v>79</v>
      </c>
      <c r="D35" s="2">
        <v>2973237.95</v>
      </c>
      <c r="E35" s="2">
        <v>0</v>
      </c>
      <c r="F35" s="2">
        <v>245496.71</v>
      </c>
      <c r="G35" s="2">
        <f>(G34)+(G34*Inputs!$B$22)</f>
        <v>963116.65442953887</v>
      </c>
      <c r="H35" s="2">
        <v>0</v>
      </c>
      <c r="I35" s="2">
        <v>0</v>
      </c>
      <c r="J35" s="2">
        <v>2973237.95</v>
      </c>
      <c r="K35" s="2">
        <v>1856634.71</v>
      </c>
      <c r="L35" s="2">
        <v>0</v>
      </c>
      <c r="M35" s="2">
        <v>1856634.71</v>
      </c>
      <c r="N35">
        <v>1</v>
      </c>
      <c r="O35" s="2">
        <v>193702.69</v>
      </c>
      <c r="P35">
        <v>0</v>
      </c>
      <c r="Q35" s="2">
        <v>193702.69</v>
      </c>
      <c r="R35" s="2">
        <v>2779535.26</v>
      </c>
    </row>
    <row r="36" spans="1:18" x14ac:dyDescent="0.3">
      <c r="A36">
        <v>2059</v>
      </c>
      <c r="B36">
        <v>83</v>
      </c>
      <c r="C36">
        <v>80</v>
      </c>
      <c r="D36" s="2">
        <v>3029693.43</v>
      </c>
      <c r="E36" s="2">
        <v>0</v>
      </c>
      <c r="F36" s="2">
        <v>250158.17</v>
      </c>
      <c r="G36" s="2">
        <f>(G35)+(G35*Inputs!$B$22)</f>
        <v>970340.02933776041</v>
      </c>
      <c r="H36" s="2">
        <v>0</v>
      </c>
      <c r="I36" s="2">
        <v>0</v>
      </c>
      <c r="J36" s="2">
        <v>3029693.43</v>
      </c>
      <c r="K36" s="2">
        <v>1912333.75</v>
      </c>
      <c r="L36" s="2">
        <v>0</v>
      </c>
      <c r="M36" s="2">
        <v>1912333.75</v>
      </c>
      <c r="N36">
        <v>1</v>
      </c>
      <c r="O36" s="2">
        <v>199513.78</v>
      </c>
      <c r="P36">
        <v>0</v>
      </c>
      <c r="Q36" s="2">
        <v>199513.78</v>
      </c>
      <c r="R36" s="2">
        <v>2830179.66</v>
      </c>
    </row>
    <row r="37" spans="1:18" x14ac:dyDescent="0.3">
      <c r="A37">
        <v>2060</v>
      </c>
      <c r="B37">
        <v>84</v>
      </c>
      <c r="C37">
        <v>81</v>
      </c>
      <c r="D37" s="2">
        <v>3084895.83</v>
      </c>
      <c r="E37" s="2">
        <v>0</v>
      </c>
      <c r="F37" s="2">
        <v>254716.17</v>
      </c>
      <c r="G37" s="2">
        <f>(G36)+(G36*Inputs!$B$22)</f>
        <v>977617.57955779356</v>
      </c>
      <c r="H37" s="2">
        <v>0</v>
      </c>
      <c r="I37" s="2">
        <v>0</v>
      </c>
      <c r="J37" s="2">
        <v>3084895.83</v>
      </c>
      <c r="K37" s="2">
        <v>1969703.76</v>
      </c>
      <c r="L37" s="2">
        <v>0</v>
      </c>
      <c r="M37" s="2">
        <v>1969703.76</v>
      </c>
      <c r="N37">
        <v>1</v>
      </c>
      <c r="O37" s="2">
        <v>205499.19</v>
      </c>
      <c r="P37">
        <v>0</v>
      </c>
      <c r="Q37" s="2">
        <v>205499.19</v>
      </c>
      <c r="R37" s="2">
        <v>2879396.64</v>
      </c>
    </row>
    <row r="38" spans="1:18" x14ac:dyDescent="0.3">
      <c r="A38">
        <v>2061</v>
      </c>
      <c r="B38">
        <v>85</v>
      </c>
      <c r="C38">
        <v>82</v>
      </c>
      <c r="D38" s="2">
        <v>3138542.34</v>
      </c>
      <c r="E38" s="2">
        <v>0</v>
      </c>
      <c r="F38" s="2">
        <v>259145.7</v>
      </c>
      <c r="G38" s="2">
        <f>(G37)+(G37*Inputs!$B$22)</f>
        <v>984949.71140447701</v>
      </c>
      <c r="H38" s="2">
        <v>0</v>
      </c>
      <c r="I38" s="2">
        <v>0</v>
      </c>
      <c r="J38" s="2">
        <v>3138542.34</v>
      </c>
      <c r="K38" s="2">
        <v>2028794.87</v>
      </c>
      <c r="L38" s="2">
        <v>0</v>
      </c>
      <c r="M38" s="2">
        <v>2028794.87</v>
      </c>
      <c r="N38">
        <v>1</v>
      </c>
      <c r="O38" s="2">
        <v>211664.16</v>
      </c>
      <c r="P38">
        <v>0</v>
      </c>
      <c r="Q38" s="2">
        <v>211664.16</v>
      </c>
      <c r="R38" s="2">
        <v>2926878.17</v>
      </c>
    </row>
    <row r="39" spans="1:18" x14ac:dyDescent="0.3">
      <c r="A39">
        <v>2062</v>
      </c>
      <c r="B39">
        <v>86</v>
      </c>
      <c r="C39">
        <v>83</v>
      </c>
      <c r="D39" s="2">
        <v>3190297.21</v>
      </c>
      <c r="E39" s="2">
        <v>0</v>
      </c>
      <c r="F39" s="2">
        <v>263419.03999999998</v>
      </c>
      <c r="G39" s="2">
        <f>(G38)+(G38*Inputs!$B$22)</f>
        <v>992336.83424001059</v>
      </c>
      <c r="H39" s="2">
        <v>0</v>
      </c>
      <c r="I39" s="2">
        <v>0</v>
      </c>
      <c r="J39" s="2">
        <v>3190297.21</v>
      </c>
      <c r="K39" s="2">
        <v>2089658.72</v>
      </c>
      <c r="L39" s="2">
        <v>0</v>
      </c>
      <c r="M39" s="2">
        <v>2089658.72</v>
      </c>
      <c r="N39">
        <v>1</v>
      </c>
      <c r="O39" s="2">
        <v>218014.09</v>
      </c>
      <c r="P39">
        <v>0</v>
      </c>
      <c r="Q39" s="2">
        <v>218014.09</v>
      </c>
      <c r="R39" s="2">
        <v>2972283.12</v>
      </c>
    </row>
    <row r="40" spans="1:18" x14ac:dyDescent="0.3">
      <c r="A40">
        <v>2063</v>
      </c>
      <c r="B40">
        <v>87</v>
      </c>
      <c r="C40">
        <v>84</v>
      </c>
      <c r="D40" s="2">
        <v>3239788.6</v>
      </c>
      <c r="E40" s="2">
        <v>0</v>
      </c>
      <c r="F40" s="2">
        <v>267505.48</v>
      </c>
      <c r="G40" s="2">
        <f>(G39)+(G39*Inputs!$B$22)</f>
        <v>999779.36049681064</v>
      </c>
      <c r="H40" s="2">
        <v>0</v>
      </c>
      <c r="I40" s="2">
        <v>0</v>
      </c>
      <c r="J40" s="2">
        <v>3239788.6</v>
      </c>
      <c r="K40" s="2">
        <v>2152348.48</v>
      </c>
      <c r="L40" s="2">
        <v>0</v>
      </c>
      <c r="M40" s="2">
        <v>2152348.48</v>
      </c>
      <c r="N40">
        <v>1</v>
      </c>
      <c r="O40" s="2">
        <v>224554.51</v>
      </c>
      <c r="P40">
        <v>0</v>
      </c>
      <c r="Q40" s="2">
        <v>224554.51</v>
      </c>
      <c r="R40" s="2">
        <v>3015234.09</v>
      </c>
    </row>
    <row r="41" spans="1:18" x14ac:dyDescent="0.3">
      <c r="A41">
        <v>2064</v>
      </c>
      <c r="B41">
        <v>88</v>
      </c>
      <c r="C41">
        <v>85</v>
      </c>
      <c r="D41" s="2">
        <v>3286605.15</v>
      </c>
      <c r="E41" s="2">
        <v>0</v>
      </c>
      <c r="F41" s="2">
        <v>271371.07</v>
      </c>
      <c r="G41" s="2">
        <f>(G40)+(G40*Inputs!$B$22)</f>
        <v>1007277.7057005367</v>
      </c>
      <c r="H41" s="2">
        <v>0</v>
      </c>
      <c r="I41" s="2">
        <v>0</v>
      </c>
      <c r="J41" s="2">
        <v>3286605.15</v>
      </c>
      <c r="K41" s="2">
        <v>2216918.9300000002</v>
      </c>
      <c r="L41" s="2">
        <v>0</v>
      </c>
      <c r="M41" s="2">
        <v>2216918.9300000002</v>
      </c>
      <c r="N41">
        <v>1</v>
      </c>
      <c r="O41" s="2">
        <v>231291.15</v>
      </c>
      <c r="P41">
        <v>0</v>
      </c>
      <c r="Q41" s="2">
        <v>231291.15</v>
      </c>
      <c r="R41" s="2">
        <v>3055314.01</v>
      </c>
    </row>
    <row r="42" spans="1:18" x14ac:dyDescent="0.3">
      <c r="A42">
        <v>2065</v>
      </c>
      <c r="B42">
        <v>89</v>
      </c>
      <c r="C42">
        <v>86</v>
      </c>
      <c r="D42" s="2">
        <v>3330292.27</v>
      </c>
      <c r="E42" s="2">
        <v>0</v>
      </c>
      <c r="F42" s="2">
        <v>274978.26</v>
      </c>
      <c r="G42" s="2">
        <f>(G41)+(G41*Inputs!$B$22)</f>
        <v>1014832.2884932908</v>
      </c>
      <c r="H42" s="2">
        <v>0</v>
      </c>
      <c r="I42" s="2">
        <v>0</v>
      </c>
      <c r="J42" s="2">
        <v>3330292.27</v>
      </c>
      <c r="K42" s="2">
        <v>2283426.5</v>
      </c>
      <c r="L42" s="2">
        <v>0</v>
      </c>
      <c r="M42" s="2">
        <v>2283426.5</v>
      </c>
      <c r="N42">
        <v>1</v>
      </c>
      <c r="O42" s="2">
        <v>238229.88</v>
      </c>
      <c r="P42">
        <v>0</v>
      </c>
      <c r="Q42" s="2">
        <v>238229.88</v>
      </c>
      <c r="R42" s="2">
        <v>3092062.38</v>
      </c>
    </row>
    <row r="43" spans="1:18" x14ac:dyDescent="0.3">
      <c r="A43">
        <v>2066</v>
      </c>
      <c r="B43">
        <v>90</v>
      </c>
      <c r="C43">
        <v>87</v>
      </c>
      <c r="D43" s="2">
        <v>3370348</v>
      </c>
      <c r="E43" s="2">
        <v>0</v>
      </c>
      <c r="F43" s="2">
        <v>278285.61</v>
      </c>
      <c r="G43" s="2">
        <f>(G42)+(G42*Inputs!$B$22)</f>
        <v>1022443.5306569905</v>
      </c>
      <c r="H43" s="2">
        <v>0</v>
      </c>
      <c r="I43" s="2">
        <v>0</v>
      </c>
      <c r="J43" s="2">
        <v>3370348</v>
      </c>
      <c r="K43" s="2">
        <v>2351929.29</v>
      </c>
      <c r="L43" s="2">
        <v>0</v>
      </c>
      <c r="M43" s="2">
        <v>2351929.29</v>
      </c>
      <c r="N43">
        <v>1</v>
      </c>
      <c r="O43" s="2">
        <v>245376.78</v>
      </c>
      <c r="P43">
        <v>0</v>
      </c>
      <c r="Q43" s="2">
        <v>245376.78</v>
      </c>
      <c r="R43" s="2">
        <v>3124971.22</v>
      </c>
    </row>
    <row r="44" spans="1:18" x14ac:dyDescent="0.3">
      <c r="A44">
        <v>2067</v>
      </c>
      <c r="B44">
        <v>91</v>
      </c>
      <c r="C44">
        <v>88</v>
      </c>
      <c r="D44" s="2">
        <v>3406218.63</v>
      </c>
      <c r="E44" s="2">
        <v>0</v>
      </c>
      <c r="F44" s="2">
        <v>281247.40999999997</v>
      </c>
      <c r="G44" s="2">
        <f>(G43)+(G43*Inputs!$B$22)</f>
        <v>1030111.8571369179</v>
      </c>
      <c r="H44" s="2">
        <v>0</v>
      </c>
      <c r="I44" s="2">
        <v>0</v>
      </c>
      <c r="J44" s="2">
        <v>3406218.63</v>
      </c>
      <c r="K44" s="2">
        <v>2422487.17</v>
      </c>
      <c r="L44" s="2">
        <v>0</v>
      </c>
      <c r="M44" s="2">
        <v>2422487.17</v>
      </c>
      <c r="N44">
        <v>1</v>
      </c>
      <c r="O44" s="2">
        <v>252738.08</v>
      </c>
      <c r="P44">
        <v>0</v>
      </c>
      <c r="Q44" s="2">
        <v>252738.08</v>
      </c>
      <c r="R44" s="2">
        <v>3153480.55</v>
      </c>
    </row>
    <row r="45" spans="1:18" x14ac:dyDescent="0.3">
      <c r="A45">
        <v>2068</v>
      </c>
      <c r="B45">
        <v>92</v>
      </c>
      <c r="C45">
        <v>89</v>
      </c>
      <c r="D45" s="2">
        <v>3437293.8</v>
      </c>
      <c r="E45" s="2">
        <v>0</v>
      </c>
      <c r="F45" s="2">
        <v>283813.25</v>
      </c>
      <c r="G45" s="2">
        <f>(G44)+(G44*Inputs!$B$22)</f>
        <v>1037837.6960654447</v>
      </c>
      <c r="H45" s="2">
        <v>0</v>
      </c>
      <c r="I45" s="2">
        <v>0</v>
      </c>
      <c r="J45" s="2">
        <v>3437293.8</v>
      </c>
      <c r="K45" s="2">
        <v>2495161.79</v>
      </c>
      <c r="L45" s="2">
        <v>0</v>
      </c>
      <c r="M45" s="2">
        <v>2495161.79</v>
      </c>
      <c r="N45">
        <v>1</v>
      </c>
      <c r="O45" s="2">
        <v>260320.22</v>
      </c>
      <c r="P45">
        <v>0</v>
      </c>
      <c r="Q45" s="2">
        <v>260320.22</v>
      </c>
      <c r="R45" s="2">
        <v>3176973.57</v>
      </c>
    </row>
    <row r="46" spans="1:18" x14ac:dyDescent="0.3">
      <c r="A46">
        <v>2069</v>
      </c>
      <c r="B46">
        <v>93</v>
      </c>
      <c r="C46">
        <v>90</v>
      </c>
      <c r="D46" s="2">
        <v>3462901.19</v>
      </c>
      <c r="E46" s="2">
        <v>0</v>
      </c>
      <c r="F46" s="2">
        <v>285927.62</v>
      </c>
      <c r="G46" s="2">
        <f>(G45)+(G45*Inputs!$B$22)</f>
        <v>1045621.4787859356</v>
      </c>
      <c r="H46" s="2">
        <v>0</v>
      </c>
      <c r="I46" s="2">
        <v>0</v>
      </c>
      <c r="J46" s="2">
        <v>3462901.19</v>
      </c>
      <c r="K46" s="2">
        <v>2570016.64</v>
      </c>
      <c r="L46" s="2">
        <v>0</v>
      </c>
      <c r="M46" s="2">
        <v>2570016.64</v>
      </c>
      <c r="N46">
        <v>1</v>
      </c>
      <c r="O46" s="2">
        <v>268129.83</v>
      </c>
      <c r="P46">
        <v>0</v>
      </c>
      <c r="Q46" s="2">
        <v>268129.83</v>
      </c>
      <c r="R46" s="2">
        <v>3194771.36</v>
      </c>
    </row>
    <row r="47" spans="1:18" x14ac:dyDescent="0.3">
      <c r="A47">
        <v>2070</v>
      </c>
      <c r="B47">
        <v>94</v>
      </c>
      <c r="C47">
        <v>91</v>
      </c>
      <c r="D47" s="2">
        <v>3482300.79</v>
      </c>
      <c r="E47" s="2">
        <v>0</v>
      </c>
      <c r="F47" s="2">
        <v>287529.42</v>
      </c>
      <c r="G47" s="2">
        <f>(G46)+(G46*Inputs!$B$22)</f>
        <v>1053463.6398768302</v>
      </c>
      <c r="H47" s="2">
        <v>0</v>
      </c>
      <c r="I47" s="2">
        <v>0</v>
      </c>
      <c r="J47" s="2">
        <v>3482300.79</v>
      </c>
      <c r="K47" s="2">
        <v>2647117.14</v>
      </c>
      <c r="L47" s="2">
        <v>0</v>
      </c>
      <c r="M47" s="2">
        <v>2647117.14</v>
      </c>
      <c r="N47">
        <v>1</v>
      </c>
      <c r="O47" s="2">
        <v>276173.73</v>
      </c>
      <c r="P47">
        <v>0</v>
      </c>
      <c r="Q47" s="2">
        <v>276173.73</v>
      </c>
      <c r="R47" s="2">
        <v>3206127.06</v>
      </c>
    </row>
    <row r="48" spans="1:18" x14ac:dyDescent="0.3">
      <c r="A48">
        <v>2071</v>
      </c>
      <c r="B48">
        <v>95</v>
      </c>
      <c r="C48">
        <v>92</v>
      </c>
      <c r="D48" s="2">
        <v>3494678.5</v>
      </c>
      <c r="E48" s="2">
        <v>0</v>
      </c>
      <c r="F48" s="2">
        <v>288551.44</v>
      </c>
      <c r="G48" s="2">
        <f>(G47)+(G47*Inputs!$B$22)</f>
        <v>1061364.6171759064</v>
      </c>
      <c r="H48" s="2">
        <v>0</v>
      </c>
      <c r="I48" s="2">
        <v>0</v>
      </c>
      <c r="J48" s="2">
        <v>3494678.5</v>
      </c>
      <c r="K48" s="2">
        <v>2726530.65</v>
      </c>
      <c r="L48" s="2">
        <v>0</v>
      </c>
      <c r="M48" s="2">
        <v>2726530.65</v>
      </c>
      <c r="N48">
        <v>1</v>
      </c>
      <c r="O48" s="2">
        <v>284458.94</v>
      </c>
      <c r="P48">
        <v>0</v>
      </c>
      <c r="Q48" s="2">
        <v>284458.94</v>
      </c>
      <c r="R48" s="2">
        <v>3210219.56</v>
      </c>
    </row>
    <row r="49" spans="1:18" x14ac:dyDescent="0.3">
      <c r="A49">
        <v>2072</v>
      </c>
      <c r="B49">
        <v>96</v>
      </c>
      <c r="C49">
        <v>93</v>
      </c>
      <c r="D49" s="2">
        <v>3499139.32</v>
      </c>
      <c r="E49" s="2">
        <v>0</v>
      </c>
      <c r="F49" s="2">
        <v>288919.76</v>
      </c>
      <c r="G49" s="2">
        <f>(G48)+(G48*Inputs!$B$22)</f>
        <v>1069324.8518047258</v>
      </c>
      <c r="H49" s="2">
        <v>0</v>
      </c>
      <c r="I49" s="2">
        <v>0</v>
      </c>
      <c r="J49" s="2">
        <v>3499139.32</v>
      </c>
      <c r="K49" s="2">
        <v>2808326.57</v>
      </c>
      <c r="L49" s="2">
        <v>0</v>
      </c>
      <c r="M49" s="2">
        <v>2808326.57</v>
      </c>
      <c r="N49">
        <v>1</v>
      </c>
      <c r="O49" s="2">
        <v>292992.71000000002</v>
      </c>
      <c r="P49">
        <v>0</v>
      </c>
      <c r="Q49" s="2">
        <v>292992.71000000002</v>
      </c>
      <c r="R49" s="2">
        <v>3206146.61</v>
      </c>
    </row>
    <row r="50" spans="1:18" x14ac:dyDescent="0.3">
      <c r="A50">
        <v>2073</v>
      </c>
      <c r="B50">
        <v>97</v>
      </c>
      <c r="C50">
        <v>94</v>
      </c>
      <c r="D50" s="2">
        <v>3494699.81</v>
      </c>
      <c r="E50" s="2">
        <v>0</v>
      </c>
      <c r="F50" s="2">
        <v>288553.2</v>
      </c>
      <c r="G50" s="2">
        <f>(G49)+(G49*Inputs!$B$22)</f>
        <v>1077344.7881932613</v>
      </c>
      <c r="H50" s="2">
        <v>0</v>
      </c>
      <c r="I50" s="2">
        <v>0</v>
      </c>
      <c r="J50" s="2">
        <v>3494699.81</v>
      </c>
      <c r="K50" s="2">
        <v>2892576.37</v>
      </c>
      <c r="L50" s="2">
        <v>0</v>
      </c>
      <c r="M50" s="2">
        <v>2892576.37</v>
      </c>
      <c r="N50">
        <v>1</v>
      </c>
      <c r="O50" s="2">
        <v>301782.49</v>
      </c>
      <c r="P50">
        <v>0</v>
      </c>
      <c r="Q50" s="2">
        <v>301782.49</v>
      </c>
      <c r="R50" s="2">
        <v>3192917.32</v>
      </c>
    </row>
    <row r="51" spans="1:18" x14ac:dyDescent="0.3">
      <c r="A51">
        <v>2074</v>
      </c>
      <c r="B51">
        <v>98</v>
      </c>
      <c r="C51">
        <v>95</v>
      </c>
      <c r="D51" s="2">
        <v>3480279.88</v>
      </c>
      <c r="E51" s="2">
        <v>0</v>
      </c>
      <c r="F51" s="2">
        <v>287362.56</v>
      </c>
      <c r="G51" s="2">
        <f>(G50)+(G50*Inputs!$B$22)</f>
        <v>1085424.8741047108</v>
      </c>
      <c r="H51" s="2">
        <v>0</v>
      </c>
      <c r="I51" s="2">
        <v>0</v>
      </c>
      <c r="J51" s="2">
        <v>3480279.88</v>
      </c>
      <c r="K51" s="2">
        <v>2979353.66</v>
      </c>
      <c r="L51" s="2">
        <v>0</v>
      </c>
      <c r="M51" s="2">
        <v>2979353.66</v>
      </c>
      <c r="N51">
        <v>1</v>
      </c>
      <c r="O51" s="2">
        <v>310835.96000000002</v>
      </c>
      <c r="P51">
        <v>0</v>
      </c>
      <c r="Q51" s="2">
        <v>310835.96000000002</v>
      </c>
      <c r="R51" s="2">
        <v>3169443.92</v>
      </c>
    </row>
    <row r="52" spans="1:18" x14ac:dyDescent="0.3">
      <c r="A52">
        <v>2075</v>
      </c>
      <c r="B52">
        <v>99</v>
      </c>
      <c r="C52">
        <v>96</v>
      </c>
      <c r="D52" s="2">
        <v>3454693.87</v>
      </c>
      <c r="E52" s="2">
        <v>0</v>
      </c>
      <c r="F52" s="2">
        <v>285249.95</v>
      </c>
      <c r="G52" s="2">
        <f>(G51)+(G51*Inputs!$B$22)</f>
        <v>1093565.5606604961</v>
      </c>
      <c r="H52" s="2">
        <v>0</v>
      </c>
      <c r="I52" s="2">
        <v>0</v>
      </c>
      <c r="J52" s="2">
        <v>3454693.87</v>
      </c>
      <c r="K52" s="2">
        <v>3068734.27</v>
      </c>
      <c r="L52" s="2">
        <v>0</v>
      </c>
      <c r="M52" s="2">
        <v>3068734.27</v>
      </c>
      <c r="N52">
        <v>1</v>
      </c>
      <c r="O52" s="2">
        <v>320161.03999999998</v>
      </c>
      <c r="P52">
        <v>0</v>
      </c>
      <c r="Q52" s="2">
        <v>320161.03999999998</v>
      </c>
      <c r="R52" s="2">
        <v>3134532.83</v>
      </c>
    </row>
    <row r="53" spans="1:18" x14ac:dyDescent="0.3">
      <c r="A53">
        <v>2076</v>
      </c>
      <c r="B53">
        <v>100</v>
      </c>
      <c r="C53">
        <v>97</v>
      </c>
      <c r="D53" s="2">
        <v>3416640.78</v>
      </c>
      <c r="E53" s="2">
        <v>0</v>
      </c>
      <c r="F53" s="2">
        <v>282107.95</v>
      </c>
      <c r="G53" s="2">
        <f>(G52)+(G52*Inputs!$B$22)</f>
        <v>1101767.30236545</v>
      </c>
      <c r="H53" s="2">
        <v>0</v>
      </c>
      <c r="I53" s="2">
        <v>0</v>
      </c>
      <c r="J53" s="2">
        <v>3416640.78</v>
      </c>
      <c r="K53" s="2">
        <v>3160796.3</v>
      </c>
      <c r="L53" s="2">
        <v>0</v>
      </c>
      <c r="M53" s="2">
        <v>3160796.3</v>
      </c>
      <c r="N53">
        <v>1</v>
      </c>
      <c r="O53" s="2">
        <v>329765.87</v>
      </c>
      <c r="P53">
        <v>0</v>
      </c>
      <c r="Q53" s="2">
        <v>329765.87</v>
      </c>
      <c r="R53" s="2">
        <v>3086874.91</v>
      </c>
    </row>
    <row r="54" spans="1:18" x14ac:dyDescent="0.3">
      <c r="A54">
        <v>2077</v>
      </c>
      <c r="B54">
        <v>101</v>
      </c>
      <c r="C54">
        <v>98</v>
      </c>
      <c r="D54" s="2">
        <v>3364693.66</v>
      </c>
      <c r="E54" s="2">
        <v>0</v>
      </c>
      <c r="F54" s="2">
        <v>277818.74</v>
      </c>
      <c r="G54" s="2">
        <f>(G53)+(G53*Inputs!$B$22)</f>
        <v>1110030.5571331908</v>
      </c>
      <c r="H54" s="2">
        <v>0</v>
      </c>
      <c r="I54" s="2">
        <v>0</v>
      </c>
      <c r="J54" s="2">
        <v>3364693.66</v>
      </c>
      <c r="K54" s="2">
        <v>3255620.19</v>
      </c>
      <c r="L54" s="2">
        <v>0</v>
      </c>
      <c r="M54" s="2">
        <v>3255620.19</v>
      </c>
      <c r="N54">
        <v>1</v>
      </c>
      <c r="O54" s="2">
        <v>339658.85</v>
      </c>
      <c r="P54">
        <v>0</v>
      </c>
      <c r="Q54" s="2">
        <v>339658.85</v>
      </c>
      <c r="R54" s="2">
        <v>3025034.81</v>
      </c>
    </row>
    <row r="55" spans="1:18" x14ac:dyDescent="0.3">
      <c r="A55">
        <v>2078</v>
      </c>
      <c r="B55">
        <v>102</v>
      </c>
      <c r="C55">
        <v>99</v>
      </c>
      <c r="D55" s="2">
        <v>3297287.94</v>
      </c>
      <c r="E55" s="2">
        <v>0</v>
      </c>
      <c r="F55" s="2">
        <v>272253.13</v>
      </c>
      <c r="G55" s="2">
        <f>(G54)+(G54*Inputs!$B$22)</f>
        <v>1118355.7863116898</v>
      </c>
      <c r="H55" s="2">
        <v>0</v>
      </c>
      <c r="I55" s="2">
        <v>0</v>
      </c>
      <c r="J55" s="2">
        <v>3297287.94</v>
      </c>
      <c r="K55" s="2">
        <v>3353288.8</v>
      </c>
      <c r="L55" s="2">
        <v>0</v>
      </c>
      <c r="M55" s="2">
        <v>3353288.8</v>
      </c>
      <c r="N55">
        <v>1</v>
      </c>
      <c r="O55" s="2">
        <v>349848.61</v>
      </c>
      <c r="P55">
        <v>0</v>
      </c>
      <c r="Q55" s="2">
        <v>349848.61</v>
      </c>
      <c r="R55" s="2">
        <v>2947439.33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17" sqref="A17"/>
    </sheetView>
  </sheetViews>
  <sheetFormatPr defaultRowHeight="14.4" x14ac:dyDescent="0.3"/>
  <cols>
    <col min="1" max="1" width="44.77734375" bestFit="1" customWidth="1"/>
    <col min="2" max="2" width="13.88671875" bestFit="1" customWidth="1"/>
  </cols>
  <sheetData>
    <row r="1" spans="1:2" x14ac:dyDescent="0.3">
      <c r="A1" s="3" t="s">
        <v>48</v>
      </c>
    </row>
    <row r="2" spans="1:2" x14ac:dyDescent="0.3">
      <c r="A2" t="s">
        <v>49</v>
      </c>
      <c r="B2">
        <f>Inputs!B29</f>
        <v>19</v>
      </c>
    </row>
    <row r="3" spans="1:2" x14ac:dyDescent="0.3">
      <c r="A3" t="s">
        <v>50</v>
      </c>
      <c r="B3" s="2">
        <f>Projection!K21</f>
        <v>1227454.25</v>
      </c>
    </row>
    <row r="4" spans="1:2" x14ac:dyDescent="0.3">
      <c r="A4" t="s">
        <v>51</v>
      </c>
      <c r="B4" s="2">
        <f>Projection!L21</f>
        <v>178551.93</v>
      </c>
    </row>
    <row r="5" spans="1:2" x14ac:dyDescent="0.3">
      <c r="A5" t="s">
        <v>52</v>
      </c>
      <c r="B5" s="2">
        <f>Projection!M21</f>
        <v>1048902.32</v>
      </c>
    </row>
    <row r="6" spans="1:2" x14ac:dyDescent="0.3">
      <c r="A6" t="s">
        <v>53</v>
      </c>
      <c r="B6" s="2">
        <f>Projection!J21</f>
        <v>2317972.2200000002</v>
      </c>
    </row>
    <row r="7" spans="1:2" x14ac:dyDescent="0.3">
      <c r="A7" t="s">
        <v>54</v>
      </c>
      <c r="B7" s="2">
        <f>Projection!O21</f>
        <v>128060.3</v>
      </c>
    </row>
    <row r="8" spans="1:2" x14ac:dyDescent="0.3">
      <c r="A8" t="s">
        <v>55</v>
      </c>
      <c r="B8">
        <f>Projection!P21</f>
        <v>0</v>
      </c>
    </row>
    <row r="9" spans="1:2" x14ac:dyDescent="0.3">
      <c r="A9" t="s">
        <v>56</v>
      </c>
      <c r="B9" s="2">
        <f>B7/Inputs!B19</f>
        <v>1829432.857142857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Projection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Gagneet Singh</cp:lastModifiedBy>
  <dcterms:created xsi:type="dcterms:W3CDTF">2025-09-18T12:02:36Z</dcterms:created>
  <dcterms:modified xsi:type="dcterms:W3CDTF">2025-09-18T12:48:07Z</dcterms:modified>
</cp:coreProperties>
</file>