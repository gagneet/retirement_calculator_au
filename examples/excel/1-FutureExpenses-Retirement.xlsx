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eet\Downloads\"/>
    </mc:Choice>
  </mc:AlternateContent>
  <xr:revisionPtr revIDLastSave="0" documentId="8_{ABB332CF-2A3F-4E4A-B2FF-251AD6A876FC}" xr6:coauthVersionLast="47" xr6:coauthVersionMax="47" xr10:uidLastSave="{00000000-0000-0000-0000-000000000000}"/>
  <bookViews>
    <workbookView xWindow="252" yWindow="912" windowWidth="21588" windowHeight="18600" xr2:uid="{27C40243-1047-463A-B92C-CF1B71235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19" i="1"/>
  <c r="B18" i="1"/>
</calcChain>
</file>

<file path=xl/sharedStrings.xml><?xml version="1.0" encoding="utf-8"?>
<sst xmlns="http://schemas.openxmlformats.org/spreadsheetml/2006/main" count="21" uniqueCount="21">
  <si>
    <t>Years to Retirement</t>
  </si>
  <si>
    <t>Years in Retirement</t>
  </si>
  <si>
    <t>Current age</t>
  </si>
  <si>
    <t>Partner's current age</t>
  </si>
  <si>
    <t>Planned retirement age</t>
  </si>
  <si>
    <t>Your expected lifespan</t>
  </si>
  <si>
    <t>Partner's expected lifespan</t>
  </si>
  <si>
    <t>Current home value</t>
  </si>
  <si>
    <t>Outstanding mortgage</t>
  </si>
  <si>
    <t>Cash, savings</t>
  </si>
  <si>
    <t>Stock portfolio</t>
  </si>
  <si>
    <t>Annual salary</t>
  </si>
  <si>
    <t>Partner's annual salary</t>
  </si>
  <si>
    <t>% of income saved</t>
  </si>
  <si>
    <t>Annual inflation</t>
  </si>
  <si>
    <t>Annual investment return</t>
  </si>
  <si>
    <t>Safe withdrawal rate</t>
  </si>
  <si>
    <t>Net Home Equity at Retirement</t>
  </si>
  <si>
    <t>Current Investable Assets</t>
  </si>
  <si>
    <t>Future Value of Current Assets</t>
  </si>
  <si>
    <t>Annual Salary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</si>
</sst>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2" applyNumberFormat="1" applyFont="1"/>
    <xf numFmtId="44" fontId="0" fillId="0" borderId="0" xfId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6050-1298-4EE0-A9D2-40EB77C069FF}">
  <dimension ref="A2:B24"/>
  <sheetViews>
    <sheetView tabSelected="1" workbookViewId="0">
      <selection activeCell="A25" sqref="A25"/>
    </sheetView>
  </sheetViews>
  <sheetFormatPr defaultRowHeight="14.4" x14ac:dyDescent="0.3"/>
  <cols>
    <col min="1" max="1" width="25.77734375" bestFit="1" customWidth="1"/>
    <col min="2" max="2" width="12.44140625" bestFit="1" customWidth="1"/>
  </cols>
  <sheetData>
    <row r="2" spans="1:2" x14ac:dyDescent="0.3">
      <c r="A2" t="s">
        <v>2</v>
      </c>
      <c r="B2">
        <v>49</v>
      </c>
    </row>
    <row r="3" spans="1:2" x14ac:dyDescent="0.3">
      <c r="A3" t="s">
        <v>3</v>
      </c>
      <c r="B3">
        <v>46</v>
      </c>
    </row>
    <row r="4" spans="1:2" x14ac:dyDescent="0.3">
      <c r="A4" t="s">
        <v>4</v>
      </c>
      <c r="B4">
        <v>65</v>
      </c>
    </row>
    <row r="5" spans="1:2" x14ac:dyDescent="0.3">
      <c r="A5" t="s">
        <v>5</v>
      </c>
      <c r="B5">
        <v>95</v>
      </c>
    </row>
    <row r="6" spans="1:2" x14ac:dyDescent="0.3">
      <c r="A6" t="s">
        <v>6</v>
      </c>
      <c r="B6">
        <v>99</v>
      </c>
    </row>
    <row r="7" spans="1:2" x14ac:dyDescent="0.3">
      <c r="A7" t="s">
        <v>7</v>
      </c>
      <c r="B7" s="2">
        <v>700000</v>
      </c>
    </row>
    <row r="8" spans="1:2" x14ac:dyDescent="0.3">
      <c r="A8" t="s">
        <v>8</v>
      </c>
      <c r="B8" s="2">
        <v>500000</v>
      </c>
    </row>
    <row r="9" spans="1:2" x14ac:dyDescent="0.3">
      <c r="A9" t="s">
        <v>9</v>
      </c>
      <c r="B9" s="2">
        <v>50000</v>
      </c>
    </row>
    <row r="10" spans="1:2" x14ac:dyDescent="0.3">
      <c r="A10" t="s">
        <v>10</v>
      </c>
      <c r="B10" s="2">
        <v>100000</v>
      </c>
    </row>
    <row r="11" spans="1:2" x14ac:dyDescent="0.3">
      <c r="A11" t="s">
        <v>11</v>
      </c>
      <c r="B11" s="2">
        <v>80000</v>
      </c>
    </row>
    <row r="12" spans="1:2" x14ac:dyDescent="0.3">
      <c r="A12" t="s">
        <v>12</v>
      </c>
      <c r="B12" s="2">
        <v>70000</v>
      </c>
    </row>
    <row r="13" spans="1:2" x14ac:dyDescent="0.3">
      <c r="A13" t="s">
        <v>13</v>
      </c>
      <c r="B13" s="1">
        <v>0.15</v>
      </c>
    </row>
    <row r="14" spans="1:2" x14ac:dyDescent="0.3">
      <c r="A14" t="s">
        <v>14</v>
      </c>
      <c r="B14" s="1">
        <v>0.03</v>
      </c>
    </row>
    <row r="15" spans="1:2" x14ac:dyDescent="0.3">
      <c r="A15" t="s">
        <v>15</v>
      </c>
      <c r="B15" s="1">
        <v>7.0000000000000007E-2</v>
      </c>
    </row>
    <row r="16" spans="1:2" x14ac:dyDescent="0.3">
      <c r="A16" t="s">
        <v>16</v>
      </c>
      <c r="B16" s="1">
        <v>0.04</v>
      </c>
    </row>
    <row r="18" spans="1:2" x14ac:dyDescent="0.3">
      <c r="A18" t="s">
        <v>0</v>
      </c>
      <c r="B18">
        <f>B4-B2</f>
        <v>16</v>
      </c>
    </row>
    <row r="19" spans="1:2" x14ac:dyDescent="0.3">
      <c r="A19" t="s">
        <v>1</v>
      </c>
      <c r="B19">
        <f>MAX(B5,B6)-B4</f>
        <v>34</v>
      </c>
    </row>
    <row r="21" spans="1:2" x14ac:dyDescent="0.3">
      <c r="A21" t="s">
        <v>17</v>
      </c>
      <c r="B21" s="3">
        <f>B7*(1+B14)^B18-B8*(1+0.05)^B18</f>
        <v>31857.213178182952</v>
      </c>
    </row>
    <row r="22" spans="1:2" x14ac:dyDescent="0.3">
      <c r="A22" t="s">
        <v>18</v>
      </c>
      <c r="B22" s="3">
        <f>B9+B10</f>
        <v>150000</v>
      </c>
    </row>
    <row r="23" spans="1:2" x14ac:dyDescent="0.3">
      <c r="A23" t="s">
        <v>19</v>
      </c>
      <c r="B23" s="3">
        <f>B22*(1+B15)^B18</f>
        <v>442824.56228481111</v>
      </c>
    </row>
    <row r="24" spans="1:2" x14ac:dyDescent="0.3">
      <c r="A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Gagneet Singh</dc:creator>
  <cp:lastModifiedBy>Gagneet Singh</cp:lastModifiedBy>
  <dcterms:created xsi:type="dcterms:W3CDTF">2025-09-18T09:58:24Z</dcterms:created>
  <dcterms:modified xsi:type="dcterms:W3CDTF">2025-09-18T10:04:20Z</dcterms:modified>
</cp:coreProperties>
</file>