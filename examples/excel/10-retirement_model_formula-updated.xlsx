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Proj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End Balance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'Projection'!I1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'Projection'!$A$2:$A$60</f>
            </numRef>
          </cat>
          <val>
            <numRef>
              <f>'Projection'!$I$2:$I$60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age</t>
        </is>
      </c>
      <c r="B1" t="n">
        <v>49</v>
      </c>
    </row>
    <row r="2">
      <c r="A2" t="inlineStr">
        <is>
          <t>Partner's current age</t>
        </is>
      </c>
      <c r="B2" t="n">
        <v>44</v>
      </c>
    </row>
    <row r="3">
      <c r="A3" t="inlineStr">
        <is>
          <t>Planned retirement age</t>
        </is>
      </c>
      <c r="B3" t="n">
        <v>68</v>
      </c>
    </row>
    <row r="4">
      <c r="A4" t="inlineStr">
        <is>
          <t>Your expected lifespan</t>
        </is>
      </c>
      <c r="B4" t="n">
        <v>95</v>
      </c>
    </row>
    <row r="5">
      <c r="A5" t="inlineStr">
        <is>
          <t>Partner's expected lifespan</t>
        </is>
      </c>
      <c r="B5" t="n">
        <v>99</v>
      </c>
    </row>
    <row r="6">
      <c r="A6" t="inlineStr">
        <is>
          <t>Current home value</t>
        </is>
      </c>
      <c r="B6" t="n">
        <v>700000</v>
      </c>
    </row>
    <row r="7">
      <c r="A7" t="inlineStr">
        <is>
          <t>Outstanding mortgage</t>
        </is>
      </c>
      <c r="B7" t="n">
        <v>500000</v>
      </c>
    </row>
    <row r="8">
      <c r="A8" t="inlineStr">
        <is>
          <t>Annual mortgage rate</t>
        </is>
      </c>
      <c r="B8" t="n">
        <v>0.05</v>
      </c>
    </row>
    <row r="9">
      <c r="A9" t="inlineStr">
        <is>
          <t>Years left on mortgage</t>
        </is>
      </c>
      <c r="B9" t="n">
        <v>25.3</v>
      </c>
    </row>
    <row r="10">
      <c r="A10" t="inlineStr">
        <is>
          <t>Current Cash/Savings</t>
        </is>
      </c>
      <c r="B10" t="n">
        <v>55000</v>
      </c>
    </row>
    <row r="11">
      <c r="A11" t="inlineStr">
        <is>
          <t>Stock portfolio</t>
        </is>
      </c>
      <c r="B11" t="n">
        <v>62000</v>
      </c>
    </row>
    <row r="12">
      <c r="A12" t="inlineStr">
        <is>
          <t>Annual salary</t>
        </is>
      </c>
      <c r="B12" t="n">
        <v>140000</v>
      </c>
    </row>
    <row r="13">
      <c r="A13" t="inlineStr">
        <is>
          <t>Partner's annual salary</t>
        </is>
      </c>
      <c r="B13" t="n">
        <v>36000</v>
      </c>
    </row>
    <row r="14">
      <c r="A14" t="inlineStr">
        <is>
          <t>% of income saved</t>
        </is>
      </c>
      <c r="B14" t="n">
        <v>0.1</v>
      </c>
    </row>
    <row r="15">
      <c r="A15" t="inlineStr">
        <is>
          <t>Monthly Stock contributions</t>
        </is>
      </c>
      <c r="B15" t="n">
        <v>1000</v>
      </c>
    </row>
    <row r="16">
      <c r="A16" t="inlineStr">
        <is>
          <t>Annual inflation</t>
        </is>
      </c>
      <c r="B16" t="n">
        <v>0.03</v>
      </c>
    </row>
    <row r="17">
      <c r="A17" t="inlineStr">
        <is>
          <t>Annual investment return</t>
        </is>
      </c>
      <c r="B17" t="n">
        <v>0.07000000000000001</v>
      </c>
    </row>
    <row r="18">
      <c r="A18" t="inlineStr">
        <is>
          <t>Return on cash/savings</t>
        </is>
      </c>
      <c r="B18" t="n">
        <v>0.04</v>
      </c>
    </row>
    <row r="19">
      <c r="A19" t="inlineStr">
        <is>
          <t>Safe withdrawal rate</t>
        </is>
      </c>
      <c r="B19" t="n">
        <v>0.04</v>
      </c>
    </row>
    <row r="20">
      <c r="A20" t="inlineStr">
        <is>
          <t>Current Superannuation Balance</t>
        </is>
      </c>
      <c r="B20" t="n">
        <v>0</v>
      </c>
    </row>
    <row r="21">
      <c r="A21" t="inlineStr">
        <is>
          <t>Superannuation growth %</t>
        </is>
      </c>
      <c r="B21" t="n">
        <v>0.09</v>
      </c>
    </row>
    <row r="22">
      <c r="A22" t="inlineStr">
        <is>
          <t>Age Pension full annual (couple)</t>
        </is>
      </c>
      <c r="B22" t="n">
        <v>46202</v>
      </c>
    </row>
    <row r="23">
      <c r="A23" t="inlineStr">
        <is>
          <t>Age Pension assets threshold (homeowner couple)</t>
        </is>
      </c>
      <c r="B23" t="n">
        <v>481500</v>
      </c>
    </row>
    <row r="24">
      <c r="A24" t="inlineStr">
        <is>
          <t>Age Pension income threshold (annual)</t>
        </is>
      </c>
      <c r="B24" t="n">
        <v>8736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 to Retirement</t>
        </is>
      </c>
      <c r="B1">
        <f>Inputs!B3-Inputs!B1</f>
        <v/>
      </c>
    </row>
    <row r="2">
      <c r="A2" t="inlineStr">
        <is>
          <t>Years in Retirement</t>
        </is>
      </c>
      <c r="B2">
        <f>Inputs!B4-Inputs!B3</f>
        <v/>
      </c>
    </row>
    <row r="3">
      <c r="A3" t="inlineStr">
        <is>
          <t>Current Combined Salary</t>
        </is>
      </c>
      <c r="B3">
        <f>Inputs!B12+Inputs!B13</f>
        <v/>
      </c>
    </row>
    <row r="4">
      <c r="A4" t="inlineStr">
        <is>
          <t>Annual Savings Contribution</t>
        </is>
      </c>
      <c r="B4">
        <f>(Inputs!B12+Inputs!B13)*Inputs!B14</f>
        <v/>
      </c>
    </row>
    <row r="5">
      <c r="A5" t="inlineStr">
        <is>
          <t>Future Value of Current Savings</t>
        </is>
      </c>
      <c r="B5">
        <f>FV(Inputs!B17, Calculations!B1, 0, -Inputs!B10)</f>
        <v/>
      </c>
    </row>
    <row r="6">
      <c r="A6" t="inlineStr">
        <is>
          <t>Future Value of Current Stock Portfolio</t>
        </is>
      </c>
      <c r="B6">
        <f>FV(Inputs!B17, Calculations!B1, 0, -Inputs!B11)</f>
        <v/>
      </c>
    </row>
    <row r="7">
      <c r="A7" t="inlineStr">
        <is>
          <t>Future Value of Monthly Stock Contributions</t>
        </is>
      </c>
      <c r="B7">
        <f>FV(Inputs!B17/12, Calculations!B1*12, -Inputs!B15, 0, 1)</f>
        <v/>
      </c>
    </row>
    <row r="8">
      <c r="A8" t="inlineStr">
        <is>
          <t>Total Future Savings</t>
        </is>
      </c>
      <c r="B8">
        <f>Calculations!B5+Calculations!B6+Calculations!B7</f>
        <v/>
      </c>
    </row>
    <row r="9">
      <c r="A9" t="inlineStr">
        <is>
          <t>Mortgage Balance at Retirement</t>
        </is>
      </c>
      <c r="B9">
        <f>FV(Inputs!B8/12, Inputs!B9*12-Calculations!B1*12, -PMT(Inputs!B8/12, Inputs!B9*12, Inputs!B7), -Inputs!B7)</f>
        <v/>
      </c>
    </row>
    <row r="10">
      <c r="A10" t="inlineStr">
        <is>
          <t>Home Value at Retirement</t>
        </is>
      </c>
      <c r="B10">
        <f>FV(Inputs!B16, Calculations!B1, 0, -Inputs!B6)</f>
        <v/>
      </c>
    </row>
    <row r="11">
      <c r="A11" t="inlineStr">
        <is>
          <t>Net Home Equity at Retirement</t>
        </is>
      </c>
      <c r="B11">
        <f>Calculations!B10-Calculations!B9</f>
        <v/>
      </c>
    </row>
    <row r="12">
      <c r="A12" t="inlineStr">
        <is>
          <t>Required Annual Income (ASFA, inflation adjusted)</t>
        </is>
      </c>
      <c r="B12">
        <f>73031*(1+Inputs!B16)^Calculations!B1</f>
        <v/>
      </c>
    </row>
    <row r="13">
      <c r="A13" t="inlineStr">
        <is>
          <t>Required Retirement Corpus</t>
        </is>
      </c>
      <c r="B13">
        <f>Calculations!B12*Calculations!B2</f>
        <v/>
      </c>
    </row>
    <row r="14">
      <c r="A14" t="inlineStr">
        <is>
          <t>Pension Assets Test</t>
        </is>
      </c>
      <c r="B14">
        <f>MAX(0, Inputs!B22 - ((MAX(0, Calculations!B8-Inputs!B23)/1000)*3*26))</f>
        <v/>
      </c>
    </row>
    <row r="15">
      <c r="A15" t="inlineStr">
        <is>
          <t>Pension Income Test</t>
        </is>
      </c>
      <c r="B15">
        <f>MAX(0, Inputs!B22 - (MAX(0, Calculations!B12-Inputs!B24)*0.5))</f>
        <v/>
      </c>
    </row>
    <row r="16">
      <c r="A16" t="inlineStr">
        <is>
          <t>Estimated Pension</t>
        </is>
      </c>
      <c r="B16">
        <f>MIN(Calculations!B14, Calculations!B15)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Age (You)</t>
        </is>
      </c>
      <c r="C1" t="inlineStr">
        <is>
          <t>Age (Partner)</t>
        </is>
      </c>
      <c r="D1" t="inlineStr">
        <is>
          <t>Start Balance</t>
        </is>
      </c>
      <c r="E1" t="inlineStr">
        <is>
          <t>Contributions</t>
        </is>
      </c>
      <c r="F1" t="inlineStr">
        <is>
          <t>Investment Growth</t>
        </is>
      </c>
      <c r="G1" t="inlineStr">
        <is>
          <t>Withdrawals</t>
        </is>
      </c>
      <c r="H1" t="inlineStr">
        <is>
          <t>Pension</t>
        </is>
      </c>
      <c r="I1" t="inlineStr">
        <is>
          <t>End Balance</t>
        </is>
      </c>
      <c r="J1" t="inlineStr">
        <is>
          <t>Required Income</t>
        </is>
      </c>
    </row>
    <row r="2">
      <c r="A2" t="n">
        <v>2025</v>
      </c>
      <c r="B2">
        <f>Inputs!B1</f>
        <v/>
      </c>
      <c r="C2">
        <f>Inputs!B2</f>
        <v/>
      </c>
      <c r="D2">
        <f>Inputs!B10+Inputs!B11+Inputs!B20</f>
        <v/>
      </c>
      <c r="E2">
        <f>(Inputs!B12+Inputs!B13)*Inputs!B14+Inputs!B15*12+Inputs!B12*0.11</f>
        <v/>
      </c>
      <c r="F2">
        <f>(D2+E2)*Inputs!B17</f>
        <v/>
      </c>
      <c r="G2" t="n">
        <v>0</v>
      </c>
      <c r="H2" t="n">
        <v>0</v>
      </c>
      <c r="I2">
        <f>D2+E2+F2-G2+H2</f>
        <v/>
      </c>
      <c r="J2">
        <f>73031*(1+Inputs!B16)^(A2-2025)</f>
        <v/>
      </c>
    </row>
    <row r="3">
      <c r="A3">
        <f>A2+1</f>
        <v/>
      </c>
      <c r="B3">
        <f>B2+1</f>
        <v/>
      </c>
      <c r="C3">
        <f>C2+1</f>
        <v/>
      </c>
      <c r="D3">
        <f>I2</f>
        <v/>
      </c>
      <c r="E3">
        <f>IF(B2&lt;Inputs!B3,(Inputs!B12+Inputs!B13)*Inputs!B14+Inputs!B15*12+Inputs!B12*0.11,0)</f>
        <v/>
      </c>
      <c r="F3">
        <f>(D3+E3)*Inputs!B17</f>
        <v/>
      </c>
      <c r="G3">
        <f>IF(B2&gt;=Inputs!B3, J2-H2, 0)</f>
        <v/>
      </c>
      <c r="H3">
        <f>IF(B2&gt;=Inputs!B3, Calculations!B16, 0)</f>
        <v/>
      </c>
      <c r="I3">
        <f>D3+E3+F3-G3+H3</f>
        <v/>
      </c>
      <c r="J3">
        <f>73031*(1+Inputs!B16)^(A3-2025)</f>
        <v/>
      </c>
    </row>
    <row r="4">
      <c r="A4">
        <f>A3+1</f>
        <v/>
      </c>
      <c r="B4">
        <f>B3+1</f>
        <v/>
      </c>
      <c r="C4">
        <f>C3+1</f>
        <v/>
      </c>
      <c r="D4">
        <f>I3</f>
        <v/>
      </c>
      <c r="E4">
        <f>IF(B3&lt;Inputs!B3,(Inputs!B12+Inputs!B13)*Inputs!B14+Inputs!B15*12+Inputs!B12*0.11,0)</f>
        <v/>
      </c>
      <c r="F4">
        <f>(D4+E4)*Inputs!B17</f>
        <v/>
      </c>
      <c r="G4">
        <f>IF(B3&gt;=Inputs!B3, J3-H3, 0)</f>
        <v/>
      </c>
      <c r="H4">
        <f>IF(B3&gt;=Inputs!B3, Calculations!B16, 0)</f>
        <v/>
      </c>
      <c r="I4">
        <f>D4+E4+F4-G4+H4</f>
        <v/>
      </c>
      <c r="J4">
        <f>73031*(1+Inputs!B16)^(A4-2025)</f>
        <v/>
      </c>
    </row>
    <row r="5">
      <c r="A5">
        <f>A4+1</f>
        <v/>
      </c>
      <c r="B5">
        <f>B4+1</f>
        <v/>
      </c>
      <c r="C5">
        <f>C4+1</f>
        <v/>
      </c>
      <c r="D5">
        <f>I4</f>
        <v/>
      </c>
      <c r="E5">
        <f>IF(B4&lt;Inputs!B3,(Inputs!B12+Inputs!B13)*Inputs!B14+Inputs!B15*12+Inputs!B12*0.11,0)</f>
        <v/>
      </c>
      <c r="F5">
        <f>(D5+E5)*Inputs!B17</f>
        <v/>
      </c>
      <c r="G5">
        <f>IF(B4&gt;=Inputs!B3, J4-H4, 0)</f>
        <v/>
      </c>
      <c r="H5">
        <f>IF(B4&gt;=Inputs!B3, Calculations!B16, 0)</f>
        <v/>
      </c>
      <c r="I5">
        <f>D5+E5+F5-G5+H5</f>
        <v/>
      </c>
      <c r="J5">
        <f>73031*(1+Inputs!B16)^(A5-2025)</f>
        <v/>
      </c>
    </row>
    <row r="6">
      <c r="A6">
        <f>A5+1</f>
        <v/>
      </c>
      <c r="B6">
        <f>B5+1</f>
        <v/>
      </c>
      <c r="C6">
        <f>C5+1</f>
        <v/>
      </c>
      <c r="D6">
        <f>I5</f>
        <v/>
      </c>
      <c r="E6">
        <f>IF(B5&lt;Inputs!B3,(Inputs!B12+Inputs!B13)*Inputs!B14+Inputs!B15*12+Inputs!B12*0.11,0)</f>
        <v/>
      </c>
      <c r="F6">
        <f>(D6+E6)*Inputs!B17</f>
        <v/>
      </c>
      <c r="G6">
        <f>IF(B5&gt;=Inputs!B3, J5-H5, 0)</f>
        <v/>
      </c>
      <c r="H6">
        <f>IF(B5&gt;=Inputs!B3, Calculations!B16, 0)</f>
        <v/>
      </c>
      <c r="I6">
        <f>D6+E6+F6-G6+H6</f>
        <v/>
      </c>
      <c r="J6">
        <f>73031*(1+Inputs!B16)^(A6-2025)</f>
        <v/>
      </c>
    </row>
    <row r="7">
      <c r="A7">
        <f>A6+1</f>
        <v/>
      </c>
      <c r="B7">
        <f>B6+1</f>
        <v/>
      </c>
      <c r="C7">
        <f>C6+1</f>
        <v/>
      </c>
      <c r="D7">
        <f>I6</f>
        <v/>
      </c>
      <c r="E7">
        <f>IF(B6&lt;Inputs!B3,(Inputs!B12+Inputs!B13)*Inputs!B14+Inputs!B15*12+Inputs!B12*0.11,0)</f>
        <v/>
      </c>
      <c r="F7">
        <f>(D7+E7)*Inputs!B17</f>
        <v/>
      </c>
      <c r="G7">
        <f>IF(B6&gt;=Inputs!B3, J6-H6, 0)</f>
        <v/>
      </c>
      <c r="H7">
        <f>IF(B6&gt;=Inputs!B3, Calculations!B16, 0)</f>
        <v/>
      </c>
      <c r="I7">
        <f>D7+E7+F7-G7+H7</f>
        <v/>
      </c>
      <c r="J7">
        <f>73031*(1+Inputs!B16)^(A7-2025)</f>
        <v/>
      </c>
    </row>
    <row r="8">
      <c r="A8">
        <f>A7+1</f>
        <v/>
      </c>
      <c r="B8">
        <f>B7+1</f>
        <v/>
      </c>
      <c r="C8">
        <f>C7+1</f>
        <v/>
      </c>
      <c r="D8">
        <f>I7</f>
        <v/>
      </c>
      <c r="E8">
        <f>IF(B7&lt;Inputs!B3,(Inputs!B12+Inputs!B13)*Inputs!B14+Inputs!B15*12+Inputs!B12*0.11,0)</f>
        <v/>
      </c>
      <c r="F8">
        <f>(D8+E8)*Inputs!B17</f>
        <v/>
      </c>
      <c r="G8">
        <f>IF(B7&gt;=Inputs!B3, J7-H7, 0)</f>
        <v/>
      </c>
      <c r="H8">
        <f>IF(B7&gt;=Inputs!B3, Calculations!B16, 0)</f>
        <v/>
      </c>
      <c r="I8">
        <f>D8+E8+F8-G8+H8</f>
        <v/>
      </c>
      <c r="J8">
        <f>73031*(1+Inputs!B16)^(A8-2025)</f>
        <v/>
      </c>
    </row>
    <row r="9">
      <c r="A9">
        <f>A8+1</f>
        <v/>
      </c>
      <c r="B9">
        <f>B8+1</f>
        <v/>
      </c>
      <c r="C9">
        <f>C8+1</f>
        <v/>
      </c>
      <c r="D9">
        <f>I8</f>
        <v/>
      </c>
      <c r="E9">
        <f>IF(B8&lt;Inputs!B3,(Inputs!B12+Inputs!B13)*Inputs!B14+Inputs!B15*12+Inputs!B12*0.11,0)</f>
        <v/>
      </c>
      <c r="F9">
        <f>(D9+E9)*Inputs!B17</f>
        <v/>
      </c>
      <c r="G9">
        <f>IF(B8&gt;=Inputs!B3, J8-H8, 0)</f>
        <v/>
      </c>
      <c r="H9">
        <f>IF(B8&gt;=Inputs!B3, Calculations!B16, 0)</f>
        <v/>
      </c>
      <c r="I9">
        <f>D9+E9+F9-G9+H9</f>
        <v/>
      </c>
      <c r="J9">
        <f>73031*(1+Inputs!B16)^(A9-2025)</f>
        <v/>
      </c>
    </row>
    <row r="10">
      <c r="A10">
        <f>A9+1</f>
        <v/>
      </c>
      <c r="B10">
        <f>B9+1</f>
        <v/>
      </c>
      <c r="C10">
        <f>C9+1</f>
        <v/>
      </c>
      <c r="D10">
        <f>I9</f>
        <v/>
      </c>
      <c r="E10">
        <f>IF(B9&lt;Inputs!B3,(Inputs!B12+Inputs!B13)*Inputs!B14+Inputs!B15*12+Inputs!B12*0.11,0)</f>
        <v/>
      </c>
      <c r="F10">
        <f>(D10+E10)*Inputs!B17</f>
        <v/>
      </c>
      <c r="G10">
        <f>IF(B9&gt;=Inputs!B3, J9-H9, 0)</f>
        <v/>
      </c>
      <c r="H10">
        <f>IF(B9&gt;=Inputs!B3, Calculations!B16, 0)</f>
        <v/>
      </c>
      <c r="I10">
        <f>D10+E10+F10-G10+H10</f>
        <v/>
      </c>
      <c r="J10">
        <f>73031*(1+Inputs!B16)^(A10-2025)</f>
        <v/>
      </c>
    </row>
    <row r="11">
      <c r="A11">
        <f>A10+1</f>
        <v/>
      </c>
      <c r="B11">
        <f>B10+1</f>
        <v/>
      </c>
      <c r="C11">
        <f>C10+1</f>
        <v/>
      </c>
      <c r="D11">
        <f>I10</f>
        <v/>
      </c>
      <c r="E11">
        <f>IF(B10&lt;Inputs!B3,(Inputs!B12+Inputs!B13)*Inputs!B14+Inputs!B15*12+Inputs!B12*0.11,0)</f>
        <v/>
      </c>
      <c r="F11">
        <f>(D11+E11)*Inputs!B17</f>
        <v/>
      </c>
      <c r="G11">
        <f>IF(B10&gt;=Inputs!B3, J10-H10, 0)</f>
        <v/>
      </c>
      <c r="H11">
        <f>IF(B10&gt;=Inputs!B3, Calculations!B16, 0)</f>
        <v/>
      </c>
      <c r="I11">
        <f>D11+E11+F11-G11+H11</f>
        <v/>
      </c>
      <c r="J11">
        <f>73031*(1+Inputs!B16)^(A11-2025)</f>
        <v/>
      </c>
    </row>
    <row r="12">
      <c r="A12">
        <f>A11+1</f>
        <v/>
      </c>
      <c r="B12">
        <f>B11+1</f>
        <v/>
      </c>
      <c r="C12">
        <f>C11+1</f>
        <v/>
      </c>
      <c r="D12">
        <f>I11</f>
        <v/>
      </c>
      <c r="E12">
        <f>IF(B11&lt;Inputs!B3,(Inputs!B12+Inputs!B13)*Inputs!B14+Inputs!B15*12+Inputs!B12*0.11,0)</f>
        <v/>
      </c>
      <c r="F12">
        <f>(D12+E12)*Inputs!B17</f>
        <v/>
      </c>
      <c r="G12">
        <f>IF(B11&gt;=Inputs!B3, J11-H11, 0)</f>
        <v/>
      </c>
      <c r="H12">
        <f>IF(B11&gt;=Inputs!B3, Calculations!B16, 0)</f>
        <v/>
      </c>
      <c r="I12">
        <f>D12+E12+F12-G12+H12</f>
        <v/>
      </c>
      <c r="J12">
        <f>73031*(1+Inputs!B16)^(A12-2025)</f>
        <v/>
      </c>
    </row>
    <row r="13">
      <c r="A13">
        <f>A12+1</f>
        <v/>
      </c>
      <c r="B13">
        <f>B12+1</f>
        <v/>
      </c>
      <c r="C13">
        <f>C12+1</f>
        <v/>
      </c>
      <c r="D13">
        <f>I12</f>
        <v/>
      </c>
      <c r="E13">
        <f>IF(B12&lt;Inputs!B3,(Inputs!B12+Inputs!B13)*Inputs!B14+Inputs!B15*12+Inputs!B12*0.11,0)</f>
        <v/>
      </c>
      <c r="F13">
        <f>(D13+E13)*Inputs!B17</f>
        <v/>
      </c>
      <c r="G13">
        <f>IF(B12&gt;=Inputs!B3, J12-H12, 0)</f>
        <v/>
      </c>
      <c r="H13">
        <f>IF(B12&gt;=Inputs!B3, Calculations!B16, 0)</f>
        <v/>
      </c>
      <c r="I13">
        <f>D13+E13+F13-G13+H13</f>
        <v/>
      </c>
      <c r="J13">
        <f>73031*(1+Inputs!B16)^(A13-2025)</f>
        <v/>
      </c>
    </row>
    <row r="14">
      <c r="A14">
        <f>A13+1</f>
        <v/>
      </c>
      <c r="B14">
        <f>B13+1</f>
        <v/>
      </c>
      <c r="C14">
        <f>C13+1</f>
        <v/>
      </c>
      <c r="D14">
        <f>I13</f>
        <v/>
      </c>
      <c r="E14">
        <f>IF(B13&lt;Inputs!B3,(Inputs!B12+Inputs!B13)*Inputs!B14+Inputs!B15*12+Inputs!B12*0.11,0)</f>
        <v/>
      </c>
      <c r="F14">
        <f>(D14+E14)*Inputs!B17</f>
        <v/>
      </c>
      <c r="G14">
        <f>IF(B13&gt;=Inputs!B3, J13-H13, 0)</f>
        <v/>
      </c>
      <c r="H14">
        <f>IF(B13&gt;=Inputs!B3, Calculations!B16, 0)</f>
        <v/>
      </c>
      <c r="I14">
        <f>D14+E14+F14-G14+H14</f>
        <v/>
      </c>
      <c r="J14">
        <f>73031*(1+Inputs!B16)^(A14-2025)</f>
        <v/>
      </c>
    </row>
    <row r="15">
      <c r="A15">
        <f>A14+1</f>
        <v/>
      </c>
      <c r="B15">
        <f>B14+1</f>
        <v/>
      </c>
      <c r="C15">
        <f>C14+1</f>
        <v/>
      </c>
      <c r="D15">
        <f>I14</f>
        <v/>
      </c>
      <c r="E15">
        <f>IF(B14&lt;Inputs!B3,(Inputs!B12+Inputs!B13)*Inputs!B14+Inputs!B15*12+Inputs!B12*0.11,0)</f>
        <v/>
      </c>
      <c r="F15">
        <f>(D15+E15)*Inputs!B17</f>
        <v/>
      </c>
      <c r="G15">
        <f>IF(B14&gt;=Inputs!B3, J14-H14, 0)</f>
        <v/>
      </c>
      <c r="H15">
        <f>IF(B14&gt;=Inputs!B3, Calculations!B16, 0)</f>
        <v/>
      </c>
      <c r="I15">
        <f>D15+E15+F15-G15+H15</f>
        <v/>
      </c>
      <c r="J15">
        <f>73031*(1+Inputs!B16)^(A15-2025)</f>
        <v/>
      </c>
    </row>
    <row r="16">
      <c r="A16">
        <f>A15+1</f>
        <v/>
      </c>
      <c r="B16">
        <f>B15+1</f>
        <v/>
      </c>
      <c r="C16">
        <f>C15+1</f>
        <v/>
      </c>
      <c r="D16">
        <f>I15</f>
        <v/>
      </c>
      <c r="E16">
        <f>IF(B15&lt;Inputs!B3,(Inputs!B12+Inputs!B13)*Inputs!B14+Inputs!B15*12+Inputs!B12*0.11,0)</f>
        <v/>
      </c>
      <c r="F16">
        <f>(D16+E16)*Inputs!B17</f>
        <v/>
      </c>
      <c r="G16">
        <f>IF(B15&gt;=Inputs!B3, J15-H15, 0)</f>
        <v/>
      </c>
      <c r="H16">
        <f>IF(B15&gt;=Inputs!B3, Calculations!B16, 0)</f>
        <v/>
      </c>
      <c r="I16">
        <f>D16+E16+F16-G16+H16</f>
        <v/>
      </c>
      <c r="J16">
        <f>73031*(1+Inputs!B16)^(A16-2025)</f>
        <v/>
      </c>
    </row>
    <row r="17">
      <c r="A17">
        <f>A16+1</f>
        <v/>
      </c>
      <c r="B17">
        <f>B16+1</f>
        <v/>
      </c>
      <c r="C17">
        <f>C16+1</f>
        <v/>
      </c>
      <c r="D17">
        <f>I16</f>
        <v/>
      </c>
      <c r="E17">
        <f>IF(B16&lt;Inputs!B3,(Inputs!B12+Inputs!B13)*Inputs!B14+Inputs!B15*12+Inputs!B12*0.11,0)</f>
        <v/>
      </c>
      <c r="F17">
        <f>(D17+E17)*Inputs!B17</f>
        <v/>
      </c>
      <c r="G17">
        <f>IF(B16&gt;=Inputs!B3, J16-H16, 0)</f>
        <v/>
      </c>
      <c r="H17">
        <f>IF(B16&gt;=Inputs!B3, Calculations!B16, 0)</f>
        <v/>
      </c>
      <c r="I17">
        <f>D17+E17+F17-G17+H17</f>
        <v/>
      </c>
      <c r="J17">
        <f>73031*(1+Inputs!B16)^(A17-2025)</f>
        <v/>
      </c>
    </row>
    <row r="18">
      <c r="A18">
        <f>A17+1</f>
        <v/>
      </c>
      <c r="B18">
        <f>B17+1</f>
        <v/>
      </c>
      <c r="C18">
        <f>C17+1</f>
        <v/>
      </c>
      <c r="D18">
        <f>I17</f>
        <v/>
      </c>
      <c r="E18">
        <f>IF(B17&lt;Inputs!B3,(Inputs!B12+Inputs!B13)*Inputs!B14+Inputs!B15*12+Inputs!B12*0.11,0)</f>
        <v/>
      </c>
      <c r="F18">
        <f>(D18+E18)*Inputs!B17</f>
        <v/>
      </c>
      <c r="G18">
        <f>IF(B17&gt;=Inputs!B3, J17-H17, 0)</f>
        <v/>
      </c>
      <c r="H18">
        <f>IF(B17&gt;=Inputs!B3, Calculations!B16, 0)</f>
        <v/>
      </c>
      <c r="I18">
        <f>D18+E18+F18-G18+H18</f>
        <v/>
      </c>
      <c r="J18">
        <f>73031*(1+Inputs!B16)^(A18-2025)</f>
        <v/>
      </c>
    </row>
    <row r="19">
      <c r="A19">
        <f>A18+1</f>
        <v/>
      </c>
      <c r="B19">
        <f>B18+1</f>
        <v/>
      </c>
      <c r="C19">
        <f>C18+1</f>
        <v/>
      </c>
      <c r="D19">
        <f>I18</f>
        <v/>
      </c>
      <c r="E19">
        <f>IF(B18&lt;Inputs!B3,(Inputs!B12+Inputs!B13)*Inputs!B14+Inputs!B15*12+Inputs!B12*0.11,0)</f>
        <v/>
      </c>
      <c r="F19">
        <f>(D19+E19)*Inputs!B17</f>
        <v/>
      </c>
      <c r="G19">
        <f>IF(B18&gt;=Inputs!B3, J18-H18, 0)</f>
        <v/>
      </c>
      <c r="H19">
        <f>IF(B18&gt;=Inputs!B3, Calculations!B16, 0)</f>
        <v/>
      </c>
      <c r="I19">
        <f>D19+E19+F19-G19+H19</f>
        <v/>
      </c>
      <c r="J19">
        <f>73031*(1+Inputs!B16)^(A19-2025)</f>
        <v/>
      </c>
    </row>
    <row r="20">
      <c r="A20">
        <f>A19+1</f>
        <v/>
      </c>
      <c r="B20">
        <f>B19+1</f>
        <v/>
      </c>
      <c r="C20">
        <f>C19+1</f>
        <v/>
      </c>
      <c r="D20">
        <f>I19</f>
        <v/>
      </c>
      <c r="E20">
        <f>IF(B19&lt;Inputs!B3,(Inputs!B12+Inputs!B13)*Inputs!B14+Inputs!B15*12+Inputs!B12*0.11,0)</f>
        <v/>
      </c>
      <c r="F20">
        <f>(D20+E20)*Inputs!B17</f>
        <v/>
      </c>
      <c r="G20">
        <f>IF(B19&gt;=Inputs!B3, J19-H19, 0)</f>
        <v/>
      </c>
      <c r="H20">
        <f>IF(B19&gt;=Inputs!B3, Calculations!B16, 0)</f>
        <v/>
      </c>
      <c r="I20">
        <f>D20+E20+F20-G20+H20</f>
        <v/>
      </c>
      <c r="J20">
        <f>73031*(1+Inputs!B16)^(A20-2025)</f>
        <v/>
      </c>
    </row>
    <row r="21">
      <c r="A21">
        <f>A20+1</f>
        <v/>
      </c>
      <c r="B21">
        <f>B20+1</f>
        <v/>
      </c>
      <c r="C21">
        <f>C20+1</f>
        <v/>
      </c>
      <c r="D21">
        <f>I20</f>
        <v/>
      </c>
      <c r="E21">
        <f>IF(B20&lt;Inputs!B3,(Inputs!B12+Inputs!B13)*Inputs!B14+Inputs!B15*12+Inputs!B12*0.11,0)</f>
        <v/>
      </c>
      <c r="F21">
        <f>(D21+E21)*Inputs!B17</f>
        <v/>
      </c>
      <c r="G21">
        <f>IF(B20&gt;=Inputs!B3, J20-H20, 0)</f>
        <v/>
      </c>
      <c r="H21">
        <f>IF(B20&gt;=Inputs!B3, Calculations!B16, 0)</f>
        <v/>
      </c>
      <c r="I21">
        <f>D21+E21+F21-G21+H21</f>
        <v/>
      </c>
      <c r="J21">
        <f>73031*(1+Inputs!B16)^(A21-2025)</f>
        <v/>
      </c>
    </row>
    <row r="22">
      <c r="A22">
        <f>A21+1</f>
        <v/>
      </c>
      <c r="B22">
        <f>B21+1</f>
        <v/>
      </c>
      <c r="C22">
        <f>C21+1</f>
        <v/>
      </c>
      <c r="D22">
        <f>I21</f>
        <v/>
      </c>
      <c r="E22">
        <f>IF(B21&lt;Inputs!B3,(Inputs!B12+Inputs!B13)*Inputs!B14+Inputs!B15*12+Inputs!B12*0.11,0)</f>
        <v/>
      </c>
      <c r="F22">
        <f>(D22+E22)*Inputs!B17</f>
        <v/>
      </c>
      <c r="G22">
        <f>IF(B21&gt;=Inputs!B3, J21-H21, 0)</f>
        <v/>
      </c>
      <c r="H22">
        <f>IF(B21&gt;=Inputs!B3, Calculations!B16, 0)</f>
        <v/>
      </c>
      <c r="I22">
        <f>D22+E22+F22-G22+H22</f>
        <v/>
      </c>
      <c r="J22">
        <f>73031*(1+Inputs!B16)^(A22-2025)</f>
        <v/>
      </c>
    </row>
    <row r="23">
      <c r="A23">
        <f>A22+1</f>
        <v/>
      </c>
      <c r="B23">
        <f>B22+1</f>
        <v/>
      </c>
      <c r="C23">
        <f>C22+1</f>
        <v/>
      </c>
      <c r="D23">
        <f>I22</f>
        <v/>
      </c>
      <c r="E23">
        <f>IF(B22&lt;Inputs!B3,(Inputs!B12+Inputs!B13)*Inputs!B14+Inputs!B15*12+Inputs!B12*0.11,0)</f>
        <v/>
      </c>
      <c r="F23">
        <f>(D23+E23)*Inputs!B17</f>
        <v/>
      </c>
      <c r="G23">
        <f>IF(B22&gt;=Inputs!B3, J22-H22, 0)</f>
        <v/>
      </c>
      <c r="H23">
        <f>IF(B22&gt;=Inputs!B3, Calculations!B16, 0)</f>
        <v/>
      </c>
      <c r="I23">
        <f>D23+E23+F23-G23+H23</f>
        <v/>
      </c>
      <c r="J23">
        <f>73031*(1+Inputs!B16)^(A23-2025)</f>
        <v/>
      </c>
    </row>
    <row r="24">
      <c r="A24">
        <f>A23+1</f>
        <v/>
      </c>
      <c r="B24">
        <f>B23+1</f>
        <v/>
      </c>
      <c r="C24">
        <f>C23+1</f>
        <v/>
      </c>
      <c r="D24">
        <f>I23</f>
        <v/>
      </c>
      <c r="E24">
        <f>IF(B23&lt;Inputs!B3,(Inputs!B12+Inputs!B13)*Inputs!B14+Inputs!B15*12+Inputs!B12*0.11,0)</f>
        <v/>
      </c>
      <c r="F24">
        <f>(D24+E24)*Inputs!B17</f>
        <v/>
      </c>
      <c r="G24">
        <f>IF(B23&gt;=Inputs!B3, J23-H23, 0)</f>
        <v/>
      </c>
      <c r="H24">
        <f>IF(B23&gt;=Inputs!B3, Calculations!B16, 0)</f>
        <v/>
      </c>
      <c r="I24">
        <f>D24+E24+F24-G24+H24</f>
        <v/>
      </c>
      <c r="J24">
        <f>73031*(1+Inputs!B16)^(A24-2025)</f>
        <v/>
      </c>
    </row>
    <row r="25">
      <c r="A25">
        <f>A24+1</f>
        <v/>
      </c>
      <c r="B25">
        <f>B24+1</f>
        <v/>
      </c>
      <c r="C25">
        <f>C24+1</f>
        <v/>
      </c>
      <c r="D25">
        <f>I24</f>
        <v/>
      </c>
      <c r="E25">
        <f>IF(B24&lt;Inputs!B3,(Inputs!B12+Inputs!B13)*Inputs!B14+Inputs!B15*12+Inputs!B12*0.11,0)</f>
        <v/>
      </c>
      <c r="F25">
        <f>(D25+E25)*Inputs!B17</f>
        <v/>
      </c>
      <c r="G25">
        <f>IF(B24&gt;=Inputs!B3, J24-H24, 0)</f>
        <v/>
      </c>
      <c r="H25">
        <f>IF(B24&gt;=Inputs!B3, Calculations!B16, 0)</f>
        <v/>
      </c>
      <c r="I25">
        <f>D25+E25+F25-G25+H25</f>
        <v/>
      </c>
      <c r="J25">
        <f>73031*(1+Inputs!B16)^(A25-2025)</f>
        <v/>
      </c>
    </row>
    <row r="26">
      <c r="A26">
        <f>A25+1</f>
        <v/>
      </c>
      <c r="B26">
        <f>B25+1</f>
        <v/>
      </c>
      <c r="C26">
        <f>C25+1</f>
        <v/>
      </c>
      <c r="D26">
        <f>I25</f>
        <v/>
      </c>
      <c r="E26">
        <f>IF(B25&lt;Inputs!B3,(Inputs!B12+Inputs!B13)*Inputs!B14+Inputs!B15*12+Inputs!B12*0.11,0)</f>
        <v/>
      </c>
      <c r="F26">
        <f>(D26+E26)*Inputs!B17</f>
        <v/>
      </c>
      <c r="G26">
        <f>IF(B25&gt;=Inputs!B3, J25-H25, 0)</f>
        <v/>
      </c>
      <c r="H26">
        <f>IF(B25&gt;=Inputs!B3, Calculations!B16, 0)</f>
        <v/>
      </c>
      <c r="I26">
        <f>D26+E26+F26-G26+H26</f>
        <v/>
      </c>
      <c r="J26">
        <f>73031*(1+Inputs!B16)^(A26-2025)</f>
        <v/>
      </c>
    </row>
    <row r="27">
      <c r="A27">
        <f>A26+1</f>
        <v/>
      </c>
      <c r="B27">
        <f>B26+1</f>
        <v/>
      </c>
      <c r="C27">
        <f>C26+1</f>
        <v/>
      </c>
      <c r="D27">
        <f>I26</f>
        <v/>
      </c>
      <c r="E27">
        <f>IF(B26&lt;Inputs!B3,(Inputs!B12+Inputs!B13)*Inputs!B14+Inputs!B15*12+Inputs!B12*0.11,0)</f>
        <v/>
      </c>
      <c r="F27">
        <f>(D27+E27)*Inputs!B17</f>
        <v/>
      </c>
      <c r="G27">
        <f>IF(B26&gt;=Inputs!B3, J26-H26, 0)</f>
        <v/>
      </c>
      <c r="H27">
        <f>IF(B26&gt;=Inputs!B3, Calculations!B16, 0)</f>
        <v/>
      </c>
      <c r="I27">
        <f>D27+E27+F27-G27+H27</f>
        <v/>
      </c>
      <c r="J27">
        <f>73031*(1+Inputs!B16)^(A27-2025)</f>
        <v/>
      </c>
    </row>
    <row r="28">
      <c r="A28">
        <f>A27+1</f>
        <v/>
      </c>
      <c r="B28">
        <f>B27+1</f>
        <v/>
      </c>
      <c r="C28">
        <f>C27+1</f>
        <v/>
      </c>
      <c r="D28">
        <f>I27</f>
        <v/>
      </c>
      <c r="E28">
        <f>IF(B27&lt;Inputs!B3,(Inputs!B12+Inputs!B13)*Inputs!B14+Inputs!B15*12+Inputs!B12*0.11,0)</f>
        <v/>
      </c>
      <c r="F28">
        <f>(D28+E28)*Inputs!B17</f>
        <v/>
      </c>
      <c r="G28">
        <f>IF(B27&gt;=Inputs!B3, J27-H27, 0)</f>
        <v/>
      </c>
      <c r="H28">
        <f>IF(B27&gt;=Inputs!B3, Calculations!B16, 0)</f>
        <v/>
      </c>
      <c r="I28">
        <f>D28+E28+F28-G28+H28</f>
        <v/>
      </c>
      <c r="J28">
        <f>73031*(1+Inputs!B16)^(A28-2025)</f>
        <v/>
      </c>
    </row>
    <row r="29">
      <c r="A29">
        <f>A28+1</f>
        <v/>
      </c>
      <c r="B29">
        <f>B28+1</f>
        <v/>
      </c>
      <c r="C29">
        <f>C28+1</f>
        <v/>
      </c>
      <c r="D29">
        <f>I28</f>
        <v/>
      </c>
      <c r="E29">
        <f>IF(B28&lt;Inputs!B3,(Inputs!B12+Inputs!B13)*Inputs!B14+Inputs!B15*12+Inputs!B12*0.11,0)</f>
        <v/>
      </c>
      <c r="F29">
        <f>(D29+E29)*Inputs!B17</f>
        <v/>
      </c>
      <c r="G29">
        <f>IF(B28&gt;=Inputs!B3, J28-H28, 0)</f>
        <v/>
      </c>
      <c r="H29">
        <f>IF(B28&gt;=Inputs!B3, Calculations!B16, 0)</f>
        <v/>
      </c>
      <c r="I29">
        <f>D29+E29+F29-G29+H29</f>
        <v/>
      </c>
      <c r="J29">
        <f>73031*(1+Inputs!B16)^(A29-2025)</f>
        <v/>
      </c>
    </row>
    <row r="30">
      <c r="A30">
        <f>A29+1</f>
        <v/>
      </c>
      <c r="B30">
        <f>B29+1</f>
        <v/>
      </c>
      <c r="C30">
        <f>C29+1</f>
        <v/>
      </c>
      <c r="D30">
        <f>I29</f>
        <v/>
      </c>
      <c r="E30">
        <f>IF(B29&lt;Inputs!B3,(Inputs!B12+Inputs!B13)*Inputs!B14+Inputs!B15*12+Inputs!B12*0.11,0)</f>
        <v/>
      </c>
      <c r="F30">
        <f>(D30+E30)*Inputs!B17</f>
        <v/>
      </c>
      <c r="G30">
        <f>IF(B29&gt;=Inputs!B3, J29-H29, 0)</f>
        <v/>
      </c>
      <c r="H30">
        <f>IF(B29&gt;=Inputs!B3, Calculations!B16, 0)</f>
        <v/>
      </c>
      <c r="I30">
        <f>D30+E30+F30-G30+H30</f>
        <v/>
      </c>
      <c r="J30">
        <f>73031*(1+Inputs!B16)^(A30-2025)</f>
        <v/>
      </c>
    </row>
    <row r="31">
      <c r="A31">
        <f>A30+1</f>
        <v/>
      </c>
      <c r="B31">
        <f>B30+1</f>
        <v/>
      </c>
      <c r="C31">
        <f>C30+1</f>
        <v/>
      </c>
      <c r="D31">
        <f>I30</f>
        <v/>
      </c>
      <c r="E31">
        <f>IF(B30&lt;Inputs!B3,(Inputs!B12+Inputs!B13)*Inputs!B14+Inputs!B15*12+Inputs!B12*0.11,0)</f>
        <v/>
      </c>
      <c r="F31">
        <f>(D31+E31)*Inputs!B17</f>
        <v/>
      </c>
      <c r="G31">
        <f>IF(B30&gt;=Inputs!B3, J30-H30, 0)</f>
        <v/>
      </c>
      <c r="H31">
        <f>IF(B30&gt;=Inputs!B3, Calculations!B16, 0)</f>
        <v/>
      </c>
      <c r="I31">
        <f>D31+E31+F31-G31+H31</f>
        <v/>
      </c>
      <c r="J31">
        <f>73031*(1+Inputs!B16)^(A31-2025)</f>
        <v/>
      </c>
    </row>
    <row r="32">
      <c r="A32">
        <f>A31+1</f>
        <v/>
      </c>
      <c r="B32">
        <f>B31+1</f>
        <v/>
      </c>
      <c r="C32">
        <f>C31+1</f>
        <v/>
      </c>
      <c r="D32">
        <f>I31</f>
        <v/>
      </c>
      <c r="E32">
        <f>IF(B31&lt;Inputs!B3,(Inputs!B12+Inputs!B13)*Inputs!B14+Inputs!B15*12+Inputs!B12*0.11,0)</f>
        <v/>
      </c>
      <c r="F32">
        <f>(D32+E32)*Inputs!B17</f>
        <v/>
      </c>
      <c r="G32">
        <f>IF(B31&gt;=Inputs!B3, J31-H31, 0)</f>
        <v/>
      </c>
      <c r="H32">
        <f>IF(B31&gt;=Inputs!B3, Calculations!B16, 0)</f>
        <v/>
      </c>
      <c r="I32">
        <f>D32+E32+F32-G32+H32</f>
        <v/>
      </c>
      <c r="J32">
        <f>73031*(1+Inputs!B16)^(A32-2025)</f>
        <v/>
      </c>
    </row>
    <row r="33">
      <c r="A33">
        <f>A32+1</f>
        <v/>
      </c>
      <c r="B33">
        <f>B32+1</f>
        <v/>
      </c>
      <c r="C33">
        <f>C32+1</f>
        <v/>
      </c>
      <c r="D33">
        <f>I32</f>
        <v/>
      </c>
      <c r="E33">
        <f>IF(B32&lt;Inputs!B3,(Inputs!B12+Inputs!B13)*Inputs!B14+Inputs!B15*12+Inputs!B12*0.11,0)</f>
        <v/>
      </c>
      <c r="F33">
        <f>(D33+E33)*Inputs!B17</f>
        <v/>
      </c>
      <c r="G33">
        <f>IF(B32&gt;=Inputs!B3, J32-H32, 0)</f>
        <v/>
      </c>
      <c r="H33">
        <f>IF(B32&gt;=Inputs!B3, Calculations!B16, 0)</f>
        <v/>
      </c>
      <c r="I33">
        <f>D33+E33+F33-G33+H33</f>
        <v/>
      </c>
      <c r="J33">
        <f>73031*(1+Inputs!B16)^(A33-2025)</f>
        <v/>
      </c>
    </row>
    <row r="34">
      <c r="A34">
        <f>A33+1</f>
        <v/>
      </c>
      <c r="B34">
        <f>B33+1</f>
        <v/>
      </c>
      <c r="C34">
        <f>C33+1</f>
        <v/>
      </c>
      <c r="D34">
        <f>I33</f>
        <v/>
      </c>
      <c r="E34">
        <f>IF(B33&lt;Inputs!B3,(Inputs!B12+Inputs!B13)*Inputs!B14+Inputs!B15*12+Inputs!B12*0.11,0)</f>
        <v/>
      </c>
      <c r="F34">
        <f>(D34+E34)*Inputs!B17</f>
        <v/>
      </c>
      <c r="G34">
        <f>IF(B33&gt;=Inputs!B3, J33-H33, 0)</f>
        <v/>
      </c>
      <c r="H34">
        <f>IF(B33&gt;=Inputs!B3, Calculations!B16, 0)</f>
        <v/>
      </c>
      <c r="I34">
        <f>D34+E34+F34-G34+H34</f>
        <v/>
      </c>
      <c r="J34">
        <f>73031*(1+Inputs!B16)^(A34-2025)</f>
        <v/>
      </c>
    </row>
    <row r="35">
      <c r="A35">
        <f>A34+1</f>
        <v/>
      </c>
      <c r="B35">
        <f>B34+1</f>
        <v/>
      </c>
      <c r="C35">
        <f>C34+1</f>
        <v/>
      </c>
      <c r="D35">
        <f>I34</f>
        <v/>
      </c>
      <c r="E35">
        <f>IF(B34&lt;Inputs!B3,(Inputs!B12+Inputs!B13)*Inputs!B14+Inputs!B15*12+Inputs!B12*0.11,0)</f>
        <v/>
      </c>
      <c r="F35">
        <f>(D35+E35)*Inputs!B17</f>
        <v/>
      </c>
      <c r="G35">
        <f>IF(B34&gt;=Inputs!B3, J34-H34, 0)</f>
        <v/>
      </c>
      <c r="H35">
        <f>IF(B34&gt;=Inputs!B3, Calculations!B16, 0)</f>
        <v/>
      </c>
      <c r="I35">
        <f>D35+E35+F35-G35+H35</f>
        <v/>
      </c>
      <c r="J35">
        <f>73031*(1+Inputs!B16)^(A35-2025)</f>
        <v/>
      </c>
    </row>
    <row r="36">
      <c r="A36">
        <f>A35+1</f>
        <v/>
      </c>
      <c r="B36">
        <f>B35+1</f>
        <v/>
      </c>
      <c r="C36">
        <f>C35+1</f>
        <v/>
      </c>
      <c r="D36">
        <f>I35</f>
        <v/>
      </c>
      <c r="E36">
        <f>IF(B35&lt;Inputs!B3,(Inputs!B12+Inputs!B13)*Inputs!B14+Inputs!B15*12+Inputs!B12*0.11,0)</f>
        <v/>
      </c>
      <c r="F36">
        <f>(D36+E36)*Inputs!B17</f>
        <v/>
      </c>
      <c r="G36">
        <f>IF(B35&gt;=Inputs!B3, J35-H35, 0)</f>
        <v/>
      </c>
      <c r="H36">
        <f>IF(B35&gt;=Inputs!B3, Calculations!B16, 0)</f>
        <v/>
      </c>
      <c r="I36">
        <f>D36+E36+F36-G36+H36</f>
        <v/>
      </c>
      <c r="J36">
        <f>73031*(1+Inputs!B16)^(A36-2025)</f>
        <v/>
      </c>
    </row>
    <row r="37">
      <c r="A37">
        <f>A36+1</f>
        <v/>
      </c>
      <c r="B37">
        <f>B36+1</f>
        <v/>
      </c>
      <c r="C37">
        <f>C36+1</f>
        <v/>
      </c>
      <c r="D37">
        <f>I36</f>
        <v/>
      </c>
      <c r="E37">
        <f>IF(B36&lt;Inputs!B3,(Inputs!B12+Inputs!B13)*Inputs!B14+Inputs!B15*12+Inputs!B12*0.11,0)</f>
        <v/>
      </c>
      <c r="F37">
        <f>(D37+E37)*Inputs!B17</f>
        <v/>
      </c>
      <c r="G37">
        <f>IF(B36&gt;=Inputs!B3, J36-H36, 0)</f>
        <v/>
      </c>
      <c r="H37">
        <f>IF(B36&gt;=Inputs!B3, Calculations!B16, 0)</f>
        <v/>
      </c>
      <c r="I37">
        <f>D37+E37+F37-G37+H37</f>
        <v/>
      </c>
      <c r="J37">
        <f>73031*(1+Inputs!B16)^(A37-2025)</f>
        <v/>
      </c>
    </row>
    <row r="38">
      <c r="A38">
        <f>A37+1</f>
        <v/>
      </c>
      <c r="B38">
        <f>B37+1</f>
        <v/>
      </c>
      <c r="C38">
        <f>C37+1</f>
        <v/>
      </c>
      <c r="D38">
        <f>I37</f>
        <v/>
      </c>
      <c r="E38">
        <f>IF(B37&lt;Inputs!B3,(Inputs!B12+Inputs!B13)*Inputs!B14+Inputs!B15*12+Inputs!B12*0.11,0)</f>
        <v/>
      </c>
      <c r="F38">
        <f>(D38+E38)*Inputs!B17</f>
        <v/>
      </c>
      <c r="G38">
        <f>IF(B37&gt;=Inputs!B3, J37-H37, 0)</f>
        <v/>
      </c>
      <c r="H38">
        <f>IF(B37&gt;=Inputs!B3, Calculations!B16, 0)</f>
        <v/>
      </c>
      <c r="I38">
        <f>D38+E38+F38-G38+H38</f>
        <v/>
      </c>
      <c r="J38">
        <f>73031*(1+Inputs!B16)^(A38-2025)</f>
        <v/>
      </c>
    </row>
    <row r="39">
      <c r="A39">
        <f>A38+1</f>
        <v/>
      </c>
      <c r="B39">
        <f>B38+1</f>
        <v/>
      </c>
      <c r="C39">
        <f>C38+1</f>
        <v/>
      </c>
      <c r="D39">
        <f>I38</f>
        <v/>
      </c>
      <c r="E39">
        <f>IF(B38&lt;Inputs!B3,(Inputs!B12+Inputs!B13)*Inputs!B14+Inputs!B15*12+Inputs!B12*0.11,0)</f>
        <v/>
      </c>
      <c r="F39">
        <f>(D39+E39)*Inputs!B17</f>
        <v/>
      </c>
      <c r="G39">
        <f>IF(B38&gt;=Inputs!B3, J38-H38, 0)</f>
        <v/>
      </c>
      <c r="H39">
        <f>IF(B38&gt;=Inputs!B3, Calculations!B16, 0)</f>
        <v/>
      </c>
      <c r="I39">
        <f>D39+E39+F39-G39+H39</f>
        <v/>
      </c>
      <c r="J39">
        <f>73031*(1+Inputs!B16)^(A39-2025)</f>
        <v/>
      </c>
    </row>
    <row r="40">
      <c r="A40">
        <f>A39+1</f>
        <v/>
      </c>
      <c r="B40">
        <f>B39+1</f>
        <v/>
      </c>
      <c r="C40">
        <f>C39+1</f>
        <v/>
      </c>
      <c r="D40">
        <f>I39</f>
        <v/>
      </c>
      <c r="E40">
        <f>IF(B39&lt;Inputs!B3,(Inputs!B12+Inputs!B13)*Inputs!B14+Inputs!B15*12+Inputs!B12*0.11,0)</f>
        <v/>
      </c>
      <c r="F40">
        <f>(D40+E40)*Inputs!B17</f>
        <v/>
      </c>
      <c r="G40">
        <f>IF(B39&gt;=Inputs!B3, J39-H39, 0)</f>
        <v/>
      </c>
      <c r="H40">
        <f>IF(B39&gt;=Inputs!B3, Calculations!B16, 0)</f>
        <v/>
      </c>
      <c r="I40">
        <f>D40+E40+F40-G40+H40</f>
        <v/>
      </c>
      <c r="J40">
        <f>73031*(1+Inputs!B16)^(A40-2025)</f>
        <v/>
      </c>
    </row>
    <row r="41">
      <c r="A41">
        <f>A40+1</f>
        <v/>
      </c>
      <c r="B41">
        <f>B40+1</f>
        <v/>
      </c>
      <c r="C41">
        <f>C40+1</f>
        <v/>
      </c>
      <c r="D41">
        <f>I40</f>
        <v/>
      </c>
      <c r="E41">
        <f>IF(B40&lt;Inputs!B3,(Inputs!B12+Inputs!B13)*Inputs!B14+Inputs!B15*12+Inputs!B12*0.11,0)</f>
        <v/>
      </c>
      <c r="F41">
        <f>(D41+E41)*Inputs!B17</f>
        <v/>
      </c>
      <c r="G41">
        <f>IF(B40&gt;=Inputs!B3, J40-H40, 0)</f>
        <v/>
      </c>
      <c r="H41">
        <f>IF(B40&gt;=Inputs!B3, Calculations!B16, 0)</f>
        <v/>
      </c>
      <c r="I41">
        <f>D41+E41+F41-G41+H41</f>
        <v/>
      </c>
      <c r="J41">
        <f>73031*(1+Inputs!B16)^(A41-2025)</f>
        <v/>
      </c>
    </row>
    <row r="42">
      <c r="A42">
        <f>A41+1</f>
        <v/>
      </c>
      <c r="B42">
        <f>B41+1</f>
        <v/>
      </c>
      <c r="C42">
        <f>C41+1</f>
        <v/>
      </c>
      <c r="D42">
        <f>I41</f>
        <v/>
      </c>
      <c r="E42">
        <f>IF(B41&lt;Inputs!B3,(Inputs!B12+Inputs!B13)*Inputs!B14+Inputs!B15*12+Inputs!B12*0.11,0)</f>
        <v/>
      </c>
      <c r="F42">
        <f>(D42+E42)*Inputs!B17</f>
        <v/>
      </c>
      <c r="G42">
        <f>IF(B41&gt;=Inputs!B3, J41-H41, 0)</f>
        <v/>
      </c>
      <c r="H42">
        <f>IF(B41&gt;=Inputs!B3, Calculations!B16, 0)</f>
        <v/>
      </c>
      <c r="I42">
        <f>D42+E42+F42-G42+H42</f>
        <v/>
      </c>
      <c r="J42">
        <f>73031*(1+Inputs!B16)^(A42-2025)</f>
        <v/>
      </c>
    </row>
    <row r="43">
      <c r="A43">
        <f>A42+1</f>
        <v/>
      </c>
      <c r="B43">
        <f>B42+1</f>
        <v/>
      </c>
      <c r="C43">
        <f>C42+1</f>
        <v/>
      </c>
      <c r="D43">
        <f>I42</f>
        <v/>
      </c>
      <c r="E43">
        <f>IF(B42&lt;Inputs!B3,(Inputs!B12+Inputs!B13)*Inputs!B14+Inputs!B15*12+Inputs!B12*0.11,0)</f>
        <v/>
      </c>
      <c r="F43">
        <f>(D43+E43)*Inputs!B17</f>
        <v/>
      </c>
      <c r="G43">
        <f>IF(B42&gt;=Inputs!B3, J42-H42, 0)</f>
        <v/>
      </c>
      <c r="H43">
        <f>IF(B42&gt;=Inputs!B3, Calculations!B16, 0)</f>
        <v/>
      </c>
      <c r="I43">
        <f>D43+E43+F43-G43+H43</f>
        <v/>
      </c>
      <c r="J43">
        <f>73031*(1+Inputs!B16)^(A43-2025)</f>
        <v/>
      </c>
    </row>
    <row r="44">
      <c r="A44">
        <f>A43+1</f>
        <v/>
      </c>
      <c r="B44">
        <f>B43+1</f>
        <v/>
      </c>
      <c r="C44">
        <f>C43+1</f>
        <v/>
      </c>
      <c r="D44">
        <f>I43</f>
        <v/>
      </c>
      <c r="E44">
        <f>IF(B43&lt;Inputs!B3,(Inputs!B12+Inputs!B13)*Inputs!B14+Inputs!B15*12+Inputs!B12*0.11,0)</f>
        <v/>
      </c>
      <c r="F44">
        <f>(D44+E44)*Inputs!B17</f>
        <v/>
      </c>
      <c r="G44">
        <f>IF(B43&gt;=Inputs!B3, J43-H43, 0)</f>
        <v/>
      </c>
      <c r="H44">
        <f>IF(B43&gt;=Inputs!B3, Calculations!B16, 0)</f>
        <v/>
      </c>
      <c r="I44">
        <f>D44+E44+F44-G44+H44</f>
        <v/>
      </c>
      <c r="J44">
        <f>73031*(1+Inputs!B16)^(A44-2025)</f>
        <v/>
      </c>
    </row>
    <row r="45">
      <c r="A45">
        <f>A44+1</f>
        <v/>
      </c>
      <c r="B45">
        <f>B44+1</f>
        <v/>
      </c>
      <c r="C45">
        <f>C44+1</f>
        <v/>
      </c>
      <c r="D45">
        <f>I44</f>
        <v/>
      </c>
      <c r="E45">
        <f>IF(B44&lt;Inputs!B3,(Inputs!B12+Inputs!B13)*Inputs!B14+Inputs!B15*12+Inputs!B12*0.11,0)</f>
        <v/>
      </c>
      <c r="F45">
        <f>(D45+E45)*Inputs!B17</f>
        <v/>
      </c>
      <c r="G45">
        <f>IF(B44&gt;=Inputs!B3, J44-H44, 0)</f>
        <v/>
      </c>
      <c r="H45">
        <f>IF(B44&gt;=Inputs!B3, Calculations!B16, 0)</f>
        <v/>
      </c>
      <c r="I45">
        <f>D45+E45+F45-G45+H45</f>
        <v/>
      </c>
      <c r="J45">
        <f>73031*(1+Inputs!B16)^(A45-2025)</f>
        <v/>
      </c>
    </row>
    <row r="46">
      <c r="A46">
        <f>A45+1</f>
        <v/>
      </c>
      <c r="B46">
        <f>B45+1</f>
        <v/>
      </c>
      <c r="C46">
        <f>C45+1</f>
        <v/>
      </c>
      <c r="D46">
        <f>I45</f>
        <v/>
      </c>
      <c r="E46">
        <f>IF(B45&lt;Inputs!B3,(Inputs!B12+Inputs!B13)*Inputs!B14+Inputs!B15*12+Inputs!B12*0.11,0)</f>
        <v/>
      </c>
      <c r="F46">
        <f>(D46+E46)*Inputs!B17</f>
        <v/>
      </c>
      <c r="G46">
        <f>IF(B45&gt;=Inputs!B3, J45-H45, 0)</f>
        <v/>
      </c>
      <c r="H46">
        <f>IF(B45&gt;=Inputs!B3, Calculations!B16, 0)</f>
        <v/>
      </c>
      <c r="I46">
        <f>D46+E46+F46-G46+H46</f>
        <v/>
      </c>
      <c r="J46">
        <f>73031*(1+Inputs!B16)^(A46-2025)</f>
        <v/>
      </c>
    </row>
    <row r="47">
      <c r="A47">
        <f>A46+1</f>
        <v/>
      </c>
      <c r="B47">
        <f>B46+1</f>
        <v/>
      </c>
      <c r="C47">
        <f>C46+1</f>
        <v/>
      </c>
      <c r="D47">
        <f>I46</f>
        <v/>
      </c>
      <c r="E47">
        <f>IF(B46&lt;Inputs!B3,(Inputs!B12+Inputs!B13)*Inputs!B14+Inputs!B15*12+Inputs!B12*0.11,0)</f>
        <v/>
      </c>
      <c r="F47">
        <f>(D47+E47)*Inputs!B17</f>
        <v/>
      </c>
      <c r="G47">
        <f>IF(B46&gt;=Inputs!B3, J46-H46, 0)</f>
        <v/>
      </c>
      <c r="H47">
        <f>IF(B46&gt;=Inputs!B3, Calculations!B16, 0)</f>
        <v/>
      </c>
      <c r="I47">
        <f>D47+E47+F47-G47+H47</f>
        <v/>
      </c>
      <c r="J47">
        <f>73031*(1+Inputs!B16)^(A47-2025)</f>
        <v/>
      </c>
    </row>
    <row r="48">
      <c r="A48">
        <f>A47+1</f>
        <v/>
      </c>
      <c r="B48">
        <f>B47+1</f>
        <v/>
      </c>
      <c r="C48">
        <f>C47+1</f>
        <v/>
      </c>
      <c r="D48">
        <f>I47</f>
        <v/>
      </c>
      <c r="E48">
        <f>IF(B47&lt;Inputs!B3,(Inputs!B12+Inputs!B13)*Inputs!B14+Inputs!B15*12+Inputs!B12*0.11,0)</f>
        <v/>
      </c>
      <c r="F48">
        <f>(D48+E48)*Inputs!B17</f>
        <v/>
      </c>
      <c r="G48">
        <f>IF(B47&gt;=Inputs!B3, J47-H47, 0)</f>
        <v/>
      </c>
      <c r="H48">
        <f>IF(B47&gt;=Inputs!B3, Calculations!B16, 0)</f>
        <v/>
      </c>
      <c r="I48">
        <f>D48+E48+F48-G48+H48</f>
        <v/>
      </c>
      <c r="J48">
        <f>73031*(1+Inputs!B16)^(A48-2025)</f>
        <v/>
      </c>
    </row>
    <row r="49">
      <c r="A49">
        <f>A48+1</f>
        <v/>
      </c>
      <c r="B49">
        <f>B48+1</f>
        <v/>
      </c>
      <c r="C49">
        <f>C48+1</f>
        <v/>
      </c>
      <c r="D49">
        <f>I48</f>
        <v/>
      </c>
      <c r="E49">
        <f>IF(B48&lt;Inputs!B3,(Inputs!B12+Inputs!B13)*Inputs!B14+Inputs!B15*12+Inputs!B12*0.11,0)</f>
        <v/>
      </c>
      <c r="F49">
        <f>(D49+E49)*Inputs!B17</f>
        <v/>
      </c>
      <c r="G49">
        <f>IF(B48&gt;=Inputs!B3, J48-H48, 0)</f>
        <v/>
      </c>
      <c r="H49">
        <f>IF(B48&gt;=Inputs!B3, Calculations!B16, 0)</f>
        <v/>
      </c>
      <c r="I49">
        <f>D49+E49+F49-G49+H49</f>
        <v/>
      </c>
      <c r="J49">
        <f>73031*(1+Inputs!B16)^(A49-2025)</f>
        <v/>
      </c>
    </row>
    <row r="50">
      <c r="A50">
        <f>A49+1</f>
        <v/>
      </c>
      <c r="B50">
        <f>B49+1</f>
        <v/>
      </c>
      <c r="C50">
        <f>C49+1</f>
        <v/>
      </c>
      <c r="D50">
        <f>I49</f>
        <v/>
      </c>
      <c r="E50">
        <f>IF(B49&lt;Inputs!B3,(Inputs!B12+Inputs!B13)*Inputs!B14+Inputs!B15*12+Inputs!B12*0.11,0)</f>
        <v/>
      </c>
      <c r="F50">
        <f>(D50+E50)*Inputs!B17</f>
        <v/>
      </c>
      <c r="G50">
        <f>IF(B49&gt;=Inputs!B3, J49-H49, 0)</f>
        <v/>
      </c>
      <c r="H50">
        <f>IF(B49&gt;=Inputs!B3, Calculations!B16, 0)</f>
        <v/>
      </c>
      <c r="I50">
        <f>D50+E50+F50-G50+H50</f>
        <v/>
      </c>
      <c r="J50">
        <f>73031*(1+Inputs!B16)^(A50-2025)</f>
        <v/>
      </c>
    </row>
    <row r="51">
      <c r="A51">
        <f>A50+1</f>
        <v/>
      </c>
      <c r="B51">
        <f>B50+1</f>
        <v/>
      </c>
      <c r="C51">
        <f>C50+1</f>
        <v/>
      </c>
      <c r="D51">
        <f>I50</f>
        <v/>
      </c>
      <c r="E51">
        <f>IF(B50&lt;Inputs!B3,(Inputs!B12+Inputs!B13)*Inputs!B14+Inputs!B15*12+Inputs!B12*0.11,0)</f>
        <v/>
      </c>
      <c r="F51">
        <f>(D51+E51)*Inputs!B17</f>
        <v/>
      </c>
      <c r="G51">
        <f>IF(B50&gt;=Inputs!B3, J50-H50, 0)</f>
        <v/>
      </c>
      <c r="H51">
        <f>IF(B50&gt;=Inputs!B3, Calculations!B16, 0)</f>
        <v/>
      </c>
      <c r="I51">
        <f>D51+E51+F51-G51+H51</f>
        <v/>
      </c>
      <c r="J51">
        <f>73031*(1+Inputs!B16)^(A51-2025)</f>
        <v/>
      </c>
    </row>
    <row r="52">
      <c r="A52">
        <f>A51+1</f>
        <v/>
      </c>
      <c r="B52">
        <f>B51+1</f>
        <v/>
      </c>
      <c r="C52">
        <f>C51+1</f>
        <v/>
      </c>
      <c r="D52">
        <f>I51</f>
        <v/>
      </c>
      <c r="E52">
        <f>IF(B51&lt;Inputs!B3,(Inputs!B12+Inputs!B13)*Inputs!B14+Inputs!B15*12+Inputs!B12*0.11,0)</f>
        <v/>
      </c>
      <c r="F52">
        <f>(D52+E52)*Inputs!B17</f>
        <v/>
      </c>
      <c r="G52">
        <f>IF(B51&gt;=Inputs!B3, J51-H51, 0)</f>
        <v/>
      </c>
      <c r="H52">
        <f>IF(B51&gt;=Inputs!B3, Calculations!B16, 0)</f>
        <v/>
      </c>
      <c r="I52">
        <f>D52+E52+F52-G52+H52</f>
        <v/>
      </c>
      <c r="J52">
        <f>73031*(1+Inputs!B16)^(A52-2025)</f>
        <v/>
      </c>
    </row>
    <row r="53">
      <c r="A53">
        <f>A52+1</f>
        <v/>
      </c>
      <c r="B53">
        <f>B52+1</f>
        <v/>
      </c>
      <c r="C53">
        <f>C52+1</f>
        <v/>
      </c>
      <c r="D53">
        <f>I52</f>
        <v/>
      </c>
      <c r="E53">
        <f>IF(B52&lt;Inputs!B3,(Inputs!B12+Inputs!B13)*Inputs!B14+Inputs!B15*12+Inputs!B12*0.11,0)</f>
        <v/>
      </c>
      <c r="F53">
        <f>(D53+E53)*Inputs!B17</f>
        <v/>
      </c>
      <c r="G53">
        <f>IF(B52&gt;=Inputs!B3, J52-H52, 0)</f>
        <v/>
      </c>
      <c r="H53">
        <f>IF(B52&gt;=Inputs!B3, Calculations!B16, 0)</f>
        <v/>
      </c>
      <c r="I53">
        <f>D53+E53+F53-G53+H53</f>
        <v/>
      </c>
      <c r="J53">
        <f>73031*(1+Inputs!B16)^(A53-2025)</f>
        <v/>
      </c>
    </row>
    <row r="54">
      <c r="A54">
        <f>A53+1</f>
        <v/>
      </c>
      <c r="B54">
        <f>B53+1</f>
        <v/>
      </c>
      <c r="C54">
        <f>C53+1</f>
        <v/>
      </c>
      <c r="D54">
        <f>I53</f>
        <v/>
      </c>
      <c r="E54">
        <f>IF(B53&lt;Inputs!B3,(Inputs!B12+Inputs!B13)*Inputs!B14+Inputs!B15*12+Inputs!B12*0.11,0)</f>
        <v/>
      </c>
      <c r="F54">
        <f>(D54+E54)*Inputs!B17</f>
        <v/>
      </c>
      <c r="G54">
        <f>IF(B53&gt;=Inputs!B3, J53-H53, 0)</f>
        <v/>
      </c>
      <c r="H54">
        <f>IF(B53&gt;=Inputs!B3, Calculations!B16, 0)</f>
        <v/>
      </c>
      <c r="I54">
        <f>D54+E54+F54-G54+H54</f>
        <v/>
      </c>
      <c r="J54">
        <f>73031*(1+Inputs!B16)^(A54-2025)</f>
        <v/>
      </c>
    </row>
    <row r="55">
      <c r="A55">
        <f>A54+1</f>
        <v/>
      </c>
      <c r="B55">
        <f>B54+1</f>
        <v/>
      </c>
      <c r="C55">
        <f>C54+1</f>
        <v/>
      </c>
      <c r="D55">
        <f>I54</f>
        <v/>
      </c>
      <c r="E55">
        <f>IF(B54&lt;Inputs!B3,(Inputs!B12+Inputs!B13)*Inputs!B14+Inputs!B15*12+Inputs!B12*0.11,0)</f>
        <v/>
      </c>
      <c r="F55">
        <f>(D55+E55)*Inputs!B17</f>
        <v/>
      </c>
      <c r="G55">
        <f>IF(B54&gt;=Inputs!B3, J54-H54, 0)</f>
        <v/>
      </c>
      <c r="H55">
        <f>IF(B54&gt;=Inputs!B3, Calculations!B16, 0)</f>
        <v/>
      </c>
      <c r="I55">
        <f>D55+E55+F55-G55+H55</f>
        <v/>
      </c>
      <c r="J55">
        <f>73031*(1+Inputs!B16)^(A55-2025)</f>
        <v/>
      </c>
    </row>
    <row r="56">
      <c r="A56">
        <f>A55+1</f>
        <v/>
      </c>
      <c r="B56">
        <f>B55+1</f>
        <v/>
      </c>
      <c r="C56">
        <f>C55+1</f>
        <v/>
      </c>
      <c r="D56">
        <f>I55</f>
        <v/>
      </c>
      <c r="E56">
        <f>IF(B55&lt;Inputs!B3,(Inputs!B12+Inputs!B13)*Inputs!B14+Inputs!B15*12+Inputs!B12*0.11,0)</f>
        <v/>
      </c>
      <c r="F56">
        <f>(D56+E56)*Inputs!B17</f>
        <v/>
      </c>
      <c r="G56">
        <f>IF(B55&gt;=Inputs!B3, J55-H55, 0)</f>
        <v/>
      </c>
      <c r="H56">
        <f>IF(B55&gt;=Inputs!B3, Calculations!B16, 0)</f>
        <v/>
      </c>
      <c r="I56">
        <f>D56+E56+F56-G56+H56</f>
        <v/>
      </c>
      <c r="J56">
        <f>73031*(1+Inputs!B16)^(A56-2025)</f>
        <v/>
      </c>
    </row>
    <row r="57">
      <c r="A57">
        <f>A56+1</f>
        <v/>
      </c>
      <c r="B57">
        <f>B56+1</f>
        <v/>
      </c>
      <c r="C57">
        <f>C56+1</f>
        <v/>
      </c>
      <c r="D57">
        <f>I56</f>
        <v/>
      </c>
      <c r="E57">
        <f>IF(B56&lt;Inputs!B3,(Inputs!B12+Inputs!B13)*Inputs!B14+Inputs!B15*12+Inputs!B12*0.11,0)</f>
        <v/>
      </c>
      <c r="F57">
        <f>(D57+E57)*Inputs!B17</f>
        <v/>
      </c>
      <c r="G57">
        <f>IF(B56&gt;=Inputs!B3, J56-H56, 0)</f>
        <v/>
      </c>
      <c r="H57">
        <f>IF(B56&gt;=Inputs!B3, Calculations!B16, 0)</f>
        <v/>
      </c>
      <c r="I57">
        <f>D57+E57+F57-G57+H57</f>
        <v/>
      </c>
      <c r="J57">
        <f>73031*(1+Inputs!B16)^(A57-2025)</f>
        <v/>
      </c>
    </row>
    <row r="58">
      <c r="A58">
        <f>A57+1</f>
        <v/>
      </c>
      <c r="B58">
        <f>B57+1</f>
        <v/>
      </c>
      <c r="C58">
        <f>C57+1</f>
        <v/>
      </c>
      <c r="D58">
        <f>I57</f>
        <v/>
      </c>
      <c r="E58">
        <f>IF(B57&lt;Inputs!B3,(Inputs!B12+Inputs!B13)*Inputs!B14+Inputs!B15*12+Inputs!B12*0.11,0)</f>
        <v/>
      </c>
      <c r="F58">
        <f>(D58+E58)*Inputs!B17</f>
        <v/>
      </c>
      <c r="G58">
        <f>IF(B57&gt;=Inputs!B3, J57-H57, 0)</f>
        <v/>
      </c>
      <c r="H58">
        <f>IF(B57&gt;=Inputs!B3, Calculations!B16, 0)</f>
        <v/>
      </c>
      <c r="I58">
        <f>D58+E58+F58-G58+H58</f>
        <v/>
      </c>
      <c r="J58">
        <f>73031*(1+Inputs!B16)^(A58-2025)</f>
        <v/>
      </c>
    </row>
    <row r="59">
      <c r="A59">
        <f>A58+1</f>
        <v/>
      </c>
      <c r="B59">
        <f>B58+1</f>
        <v/>
      </c>
      <c r="C59">
        <f>C58+1</f>
        <v/>
      </c>
      <c r="D59">
        <f>I58</f>
        <v/>
      </c>
      <c r="E59">
        <f>IF(B58&lt;Inputs!B3,(Inputs!B12+Inputs!B13)*Inputs!B14+Inputs!B15*12+Inputs!B12*0.11,0)</f>
        <v/>
      </c>
      <c r="F59">
        <f>(D59+E59)*Inputs!B17</f>
        <v/>
      </c>
      <c r="G59">
        <f>IF(B58&gt;=Inputs!B3, J58-H58, 0)</f>
        <v/>
      </c>
      <c r="H59">
        <f>IF(B58&gt;=Inputs!B3, Calculations!B16, 0)</f>
        <v/>
      </c>
      <c r="I59">
        <f>D59+E59+F59-G59+H59</f>
        <v/>
      </c>
      <c r="J59">
        <f>73031*(1+Inputs!B16)^(A59-2025)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2025-09-18T12:02:36Z</dcterms:created>
  <dcterms:modified xmlns:dcterms="http://purl.org/dc/terms/" xmlns:xsi="http://www.w3.org/2001/XMLSchema-instance" xsi:type="dcterms:W3CDTF">2025-09-18T12:02:36Z</dcterms:modified>
</cp:coreProperties>
</file>