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agneet\Downloads\"/>
    </mc:Choice>
  </mc:AlternateContent>
  <xr:revisionPtr revIDLastSave="0" documentId="13_ncr:1_{92868F94-1C7F-40C4-8DA1-8F0E2589D133}" xr6:coauthVersionLast="47" xr6:coauthVersionMax="47" xr10:uidLastSave="{00000000-0000-0000-0000-000000000000}"/>
  <bookViews>
    <workbookView xWindow="-108" yWindow="-108" windowWidth="39096" windowHeight="25416" xr2:uid="{00000000-000D-0000-FFFF-FFFF00000000}"/>
  </bookViews>
  <sheets>
    <sheet name="Inputs" sheetId="1" r:id="rId1"/>
    <sheet name="Calculations" sheetId="2" r:id="rId2"/>
    <sheet name="Projec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E2" i="3"/>
  <c r="A3" i="3"/>
  <c r="J2" i="3"/>
  <c r="D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B2" i="3"/>
  <c r="B4" i="2"/>
  <c r="B3" i="2"/>
  <c r="B2" i="2"/>
  <c r="B1" i="2"/>
  <c r="A4" i="3" l="1"/>
  <c r="J3" i="3"/>
  <c r="F2" i="3"/>
  <c r="I2" i="3"/>
  <c r="D3" i="3" s="1"/>
  <c r="G3" i="3"/>
  <c r="H3" i="3"/>
  <c r="E3" i="3"/>
  <c r="B3" i="3"/>
  <c r="B9" i="2"/>
  <c r="B12" i="2"/>
  <c r="B5" i="2"/>
  <c r="B8" i="2" s="1"/>
  <c r="B14" i="2" s="1"/>
  <c r="B10" i="2"/>
  <c r="B6" i="2"/>
  <c r="B7" i="2"/>
  <c r="J4" i="3" l="1"/>
  <c r="A5" i="3"/>
  <c r="F3" i="3"/>
  <c r="I3" i="3" s="1"/>
  <c r="D4" i="3" s="1"/>
  <c r="G4" i="3"/>
  <c r="B4" i="3"/>
  <c r="H4" i="3"/>
  <c r="E4" i="3"/>
  <c r="B15" i="2"/>
  <c r="B16" i="2" s="1"/>
  <c r="B13" i="2"/>
  <c r="B11" i="2"/>
  <c r="J5" i="3" l="1"/>
  <c r="A6" i="3"/>
  <c r="F4" i="3"/>
  <c r="I4" i="3"/>
  <c r="D5" i="3" s="1"/>
  <c r="B5" i="3"/>
  <c r="H5" i="3"/>
  <c r="E5" i="3"/>
  <c r="G5" i="3"/>
  <c r="J6" i="3" l="1"/>
  <c r="A7" i="3"/>
  <c r="F5" i="3"/>
  <c r="I5" i="3" s="1"/>
  <c r="D6" i="3" s="1"/>
  <c r="B6" i="3"/>
  <c r="E6" i="3"/>
  <c r="G6" i="3"/>
  <c r="H6" i="3"/>
  <c r="A8" i="3" l="1"/>
  <c r="J7" i="3"/>
  <c r="F6" i="3"/>
  <c r="I6" i="3" s="1"/>
  <c r="D7" i="3" s="1"/>
  <c r="H7" i="3"/>
  <c r="B7" i="3"/>
  <c r="E7" i="3"/>
  <c r="G7" i="3"/>
  <c r="A9" i="3" l="1"/>
  <c r="J8" i="3"/>
  <c r="F7" i="3"/>
  <c r="I7" i="3" s="1"/>
  <c r="D8" i="3" s="1"/>
  <c r="B8" i="3"/>
  <c r="G8" i="3"/>
  <c r="E8" i="3"/>
  <c r="H8" i="3"/>
  <c r="A10" i="3" l="1"/>
  <c r="J9" i="3"/>
  <c r="F8" i="3"/>
  <c r="I8" i="3" s="1"/>
  <c r="D9" i="3" s="1"/>
  <c r="E9" i="3"/>
  <c r="G9" i="3"/>
  <c r="H9" i="3"/>
  <c r="B9" i="3"/>
  <c r="A11" i="3" l="1"/>
  <c r="J10" i="3"/>
  <c r="F9" i="3"/>
  <c r="I9" i="3"/>
  <c r="D10" i="3" s="1"/>
  <c r="B10" i="3"/>
  <c r="E10" i="3"/>
  <c r="G10" i="3"/>
  <c r="H10" i="3"/>
  <c r="J11" i="3" l="1"/>
  <c r="A12" i="3"/>
  <c r="F10" i="3"/>
  <c r="I10" i="3"/>
  <c r="D11" i="3" s="1"/>
  <c r="B11" i="3"/>
  <c r="E11" i="3"/>
  <c r="G11" i="3"/>
  <c r="H11" i="3"/>
  <c r="A13" i="3" l="1"/>
  <c r="J12" i="3"/>
  <c r="F11" i="3"/>
  <c r="I11" i="3"/>
  <c r="D12" i="3" s="1"/>
  <c r="G12" i="3"/>
  <c r="B12" i="3"/>
  <c r="E12" i="3"/>
  <c r="H12" i="3"/>
  <c r="J13" i="3" l="1"/>
  <c r="A14" i="3"/>
  <c r="F12" i="3"/>
  <c r="I12" i="3" s="1"/>
  <c r="D13" i="3" s="1"/>
  <c r="G13" i="3"/>
  <c r="B13" i="3"/>
  <c r="E13" i="3"/>
  <c r="H13" i="3"/>
  <c r="J14" i="3" l="1"/>
  <c r="A15" i="3"/>
  <c r="F13" i="3"/>
  <c r="I13" i="3" s="1"/>
  <c r="D14" i="3" s="1"/>
  <c r="E14" i="3"/>
  <c r="H14" i="3"/>
  <c r="G14" i="3"/>
  <c r="B14" i="3"/>
  <c r="J15" i="3" l="1"/>
  <c r="A16" i="3"/>
  <c r="F14" i="3"/>
  <c r="I14" i="3"/>
  <c r="D15" i="3" s="1"/>
  <c r="B15" i="3"/>
  <c r="E15" i="3"/>
  <c r="G15" i="3"/>
  <c r="H15" i="3"/>
  <c r="J16" i="3" l="1"/>
  <c r="A17" i="3"/>
  <c r="F15" i="3"/>
  <c r="I15" i="3"/>
  <c r="D16" i="3" s="1"/>
  <c r="B16" i="3"/>
  <c r="E16" i="3"/>
  <c r="G16" i="3"/>
  <c r="H16" i="3"/>
  <c r="J17" i="3" l="1"/>
  <c r="A18" i="3"/>
  <c r="F16" i="3"/>
  <c r="I16" i="3"/>
  <c r="D17" i="3" s="1"/>
  <c r="B17" i="3"/>
  <c r="E17" i="3"/>
  <c r="G17" i="3"/>
  <c r="H17" i="3"/>
  <c r="J18" i="3" l="1"/>
  <c r="A19" i="3"/>
  <c r="F17" i="3"/>
  <c r="I17" i="3" s="1"/>
  <c r="D18" i="3" s="1"/>
  <c r="B18" i="3"/>
  <c r="E18" i="3"/>
  <c r="G18" i="3"/>
  <c r="H18" i="3"/>
  <c r="J19" i="3" l="1"/>
  <c r="A20" i="3"/>
  <c r="F18" i="3"/>
  <c r="I18" i="3" s="1"/>
  <c r="D19" i="3" s="1"/>
  <c r="B19" i="3"/>
  <c r="E19" i="3"/>
  <c r="G19" i="3"/>
  <c r="H19" i="3"/>
  <c r="J20" i="3" l="1"/>
  <c r="A21" i="3"/>
  <c r="F19" i="3"/>
  <c r="I19" i="3" s="1"/>
  <c r="D20" i="3" s="1"/>
  <c r="B20" i="3"/>
  <c r="E20" i="3"/>
  <c r="G20" i="3"/>
  <c r="H20" i="3"/>
  <c r="J21" i="3" l="1"/>
  <c r="A22" i="3"/>
  <c r="F20" i="3"/>
  <c r="I20" i="3"/>
  <c r="D21" i="3" s="1"/>
  <c r="B21" i="3"/>
  <c r="E21" i="3"/>
  <c r="G21" i="3"/>
  <c r="H21" i="3"/>
  <c r="J22" i="3" l="1"/>
  <c r="A23" i="3"/>
  <c r="F21" i="3"/>
  <c r="I21" i="3" s="1"/>
  <c r="D22" i="3" s="1"/>
  <c r="B22" i="3"/>
  <c r="E22" i="3"/>
  <c r="G22" i="3"/>
  <c r="H22" i="3"/>
  <c r="J23" i="3" l="1"/>
  <c r="A24" i="3"/>
  <c r="F22" i="3"/>
  <c r="I22" i="3" s="1"/>
  <c r="D23" i="3" s="1"/>
  <c r="B23" i="3"/>
  <c r="G23" i="3"/>
  <c r="H23" i="3"/>
  <c r="E23" i="3"/>
  <c r="J24" i="3" l="1"/>
  <c r="A25" i="3"/>
  <c r="F23" i="3"/>
  <c r="I23" i="3" s="1"/>
  <c r="D24" i="3" s="1"/>
  <c r="B24" i="3"/>
  <c r="E24" i="3"/>
  <c r="G24" i="3"/>
  <c r="H24" i="3"/>
  <c r="J25" i="3" l="1"/>
  <c r="A26" i="3"/>
  <c r="F24" i="3"/>
  <c r="I24" i="3"/>
  <c r="D25" i="3" s="1"/>
  <c r="B25" i="3"/>
  <c r="E25" i="3"/>
  <c r="G25" i="3"/>
  <c r="H25" i="3"/>
  <c r="J26" i="3" l="1"/>
  <c r="A27" i="3"/>
  <c r="F25" i="3"/>
  <c r="I25" i="3" s="1"/>
  <c r="D26" i="3" s="1"/>
  <c r="B26" i="3"/>
  <c r="E26" i="3"/>
  <c r="G26" i="3"/>
  <c r="H26" i="3"/>
  <c r="J27" i="3" l="1"/>
  <c r="A28" i="3"/>
  <c r="F26" i="3"/>
  <c r="I26" i="3"/>
  <c r="D27" i="3" s="1"/>
  <c r="B27" i="3"/>
  <c r="E27" i="3"/>
  <c r="G27" i="3"/>
  <c r="H27" i="3"/>
  <c r="J28" i="3" l="1"/>
  <c r="A29" i="3"/>
  <c r="F27" i="3"/>
  <c r="I27" i="3"/>
  <c r="D28" i="3" s="1"/>
  <c r="B28" i="3"/>
  <c r="E28" i="3"/>
  <c r="G28" i="3"/>
  <c r="H28" i="3"/>
  <c r="J29" i="3" l="1"/>
  <c r="A30" i="3"/>
  <c r="F28" i="3"/>
  <c r="I28" i="3"/>
  <c r="D29" i="3" s="1"/>
  <c r="B29" i="3"/>
  <c r="E29" i="3"/>
  <c r="G29" i="3"/>
  <c r="H29" i="3"/>
  <c r="J30" i="3" l="1"/>
  <c r="A31" i="3"/>
  <c r="F29" i="3"/>
  <c r="I29" i="3" s="1"/>
  <c r="D30" i="3" s="1"/>
  <c r="B30" i="3"/>
  <c r="E30" i="3"/>
  <c r="G30" i="3"/>
  <c r="H30" i="3"/>
  <c r="J31" i="3" l="1"/>
  <c r="A32" i="3"/>
  <c r="F30" i="3"/>
  <c r="I30" i="3" s="1"/>
  <c r="D31" i="3" s="1"/>
  <c r="B31" i="3"/>
  <c r="E31" i="3"/>
  <c r="G31" i="3"/>
  <c r="H31" i="3"/>
  <c r="J32" i="3" l="1"/>
  <c r="A33" i="3"/>
  <c r="F31" i="3"/>
  <c r="I31" i="3"/>
  <c r="D32" i="3" s="1"/>
  <c r="B32" i="3"/>
  <c r="E32" i="3"/>
  <c r="G32" i="3"/>
  <c r="H32" i="3"/>
  <c r="J33" i="3" l="1"/>
  <c r="A34" i="3"/>
  <c r="F32" i="3"/>
  <c r="I32" i="3" s="1"/>
  <c r="D33" i="3" s="1"/>
  <c r="B33" i="3"/>
  <c r="E33" i="3"/>
  <c r="G33" i="3"/>
  <c r="H33" i="3"/>
  <c r="J34" i="3" l="1"/>
  <c r="A35" i="3"/>
  <c r="F33" i="3"/>
  <c r="I33" i="3" s="1"/>
  <c r="D34" i="3" s="1"/>
  <c r="B34" i="3"/>
  <c r="E34" i="3"/>
  <c r="G34" i="3"/>
  <c r="H34" i="3"/>
  <c r="J35" i="3" l="1"/>
  <c r="A36" i="3"/>
  <c r="F34" i="3"/>
  <c r="I34" i="3" s="1"/>
  <c r="D35" i="3" s="1"/>
  <c r="B35" i="3"/>
  <c r="E35" i="3"/>
  <c r="G35" i="3"/>
  <c r="H35" i="3"/>
  <c r="J36" i="3" l="1"/>
  <c r="A37" i="3"/>
  <c r="F35" i="3"/>
  <c r="I35" i="3" s="1"/>
  <c r="D36" i="3" s="1"/>
  <c r="B36" i="3"/>
  <c r="E36" i="3"/>
  <c r="G36" i="3"/>
  <c r="H36" i="3"/>
  <c r="J37" i="3" l="1"/>
  <c r="A38" i="3"/>
  <c r="F36" i="3"/>
  <c r="I36" i="3" s="1"/>
  <c r="D37" i="3" s="1"/>
  <c r="B37" i="3"/>
  <c r="E37" i="3"/>
  <c r="G37" i="3"/>
  <c r="H37" i="3"/>
  <c r="A39" i="3" l="1"/>
  <c r="J38" i="3"/>
  <c r="F37" i="3"/>
  <c r="I37" i="3"/>
  <c r="D38" i="3" s="1"/>
  <c r="B38" i="3"/>
  <c r="E38" i="3"/>
  <c r="H38" i="3"/>
  <c r="G38" i="3"/>
  <c r="A40" i="3" l="1"/>
  <c r="J39" i="3"/>
  <c r="F38" i="3"/>
  <c r="I38" i="3" s="1"/>
  <c r="D39" i="3" s="1"/>
  <c r="E39" i="3"/>
  <c r="G39" i="3"/>
  <c r="B39" i="3"/>
  <c r="H39" i="3"/>
  <c r="J40" i="3" l="1"/>
  <c r="A41" i="3"/>
  <c r="F39" i="3"/>
  <c r="I39" i="3" s="1"/>
  <c r="D40" i="3" s="1"/>
  <c r="H40" i="3"/>
  <c r="B40" i="3"/>
  <c r="E40" i="3"/>
  <c r="G40" i="3"/>
  <c r="J41" i="3" l="1"/>
  <c r="A42" i="3"/>
  <c r="F40" i="3"/>
  <c r="I40" i="3" s="1"/>
  <c r="D41" i="3" s="1"/>
  <c r="H41" i="3"/>
  <c r="B41" i="3"/>
  <c r="E41" i="3"/>
  <c r="G41" i="3"/>
  <c r="J42" i="3" l="1"/>
  <c r="A43" i="3"/>
  <c r="F41" i="3"/>
  <c r="I41" i="3" s="1"/>
  <c r="D42" i="3" s="1"/>
  <c r="E42" i="3"/>
  <c r="G42" i="3"/>
  <c r="H42" i="3"/>
  <c r="B42" i="3"/>
  <c r="J43" i="3" l="1"/>
  <c r="A44" i="3"/>
  <c r="F42" i="3"/>
  <c r="I42" i="3" s="1"/>
  <c r="D43" i="3" s="1"/>
  <c r="B43" i="3"/>
  <c r="E43" i="3"/>
  <c r="G43" i="3"/>
  <c r="H43" i="3"/>
  <c r="J44" i="3" l="1"/>
  <c r="A45" i="3"/>
  <c r="F43" i="3"/>
  <c r="I43" i="3"/>
  <c r="D44" i="3" s="1"/>
  <c r="B44" i="3"/>
  <c r="E44" i="3"/>
  <c r="H44" i="3"/>
  <c r="G44" i="3"/>
  <c r="A46" i="3" l="1"/>
  <c r="J45" i="3"/>
  <c r="F44" i="3"/>
  <c r="I44" i="3"/>
  <c r="D45" i="3" s="1"/>
  <c r="H45" i="3"/>
  <c r="B45" i="3"/>
  <c r="E45" i="3"/>
  <c r="G45" i="3"/>
  <c r="J46" i="3" l="1"/>
  <c r="A47" i="3"/>
  <c r="F45" i="3"/>
  <c r="I45" i="3"/>
  <c r="D46" i="3" s="1"/>
  <c r="B46" i="3"/>
  <c r="E46" i="3"/>
  <c r="G46" i="3"/>
  <c r="H46" i="3"/>
  <c r="J47" i="3" l="1"/>
  <c r="A48" i="3"/>
  <c r="F46" i="3"/>
  <c r="I46" i="3"/>
  <c r="D47" i="3" s="1"/>
  <c r="B47" i="3"/>
  <c r="E47" i="3"/>
  <c r="G47" i="3"/>
  <c r="H47" i="3"/>
  <c r="J48" i="3" l="1"/>
  <c r="A49" i="3"/>
  <c r="F47" i="3"/>
  <c r="I47" i="3"/>
  <c r="D48" i="3" s="1"/>
  <c r="B48" i="3"/>
  <c r="E48" i="3"/>
  <c r="G48" i="3"/>
  <c r="H48" i="3"/>
  <c r="J49" i="3" l="1"/>
  <c r="A50" i="3"/>
  <c r="F48" i="3"/>
  <c r="I48" i="3" s="1"/>
  <c r="D49" i="3" s="1"/>
  <c r="B49" i="3"/>
  <c r="E49" i="3"/>
  <c r="G49" i="3"/>
  <c r="H49" i="3"/>
  <c r="J50" i="3" l="1"/>
  <c r="A51" i="3"/>
  <c r="F49" i="3"/>
  <c r="I49" i="3"/>
  <c r="D50" i="3" s="1"/>
  <c r="B50" i="3"/>
  <c r="E50" i="3"/>
  <c r="G50" i="3"/>
  <c r="H50" i="3"/>
  <c r="J51" i="3" l="1"/>
  <c r="A52" i="3"/>
  <c r="F50" i="3"/>
  <c r="I50" i="3"/>
  <c r="D51" i="3" s="1"/>
  <c r="B51" i="3"/>
  <c r="E51" i="3"/>
  <c r="G51" i="3"/>
  <c r="H51" i="3"/>
  <c r="J52" i="3" l="1"/>
  <c r="A53" i="3"/>
  <c r="F51" i="3"/>
  <c r="I51" i="3" s="1"/>
  <c r="D52" i="3" s="1"/>
  <c r="B52" i="3"/>
  <c r="E52" i="3"/>
  <c r="G52" i="3"/>
  <c r="H52" i="3"/>
  <c r="J53" i="3" l="1"/>
  <c r="A54" i="3"/>
  <c r="F52" i="3"/>
  <c r="I52" i="3"/>
  <c r="D53" i="3" s="1"/>
  <c r="B53" i="3"/>
  <c r="E53" i="3"/>
  <c r="G53" i="3"/>
  <c r="H53" i="3"/>
  <c r="J54" i="3" l="1"/>
  <c r="A55" i="3"/>
  <c r="F53" i="3"/>
  <c r="I53" i="3"/>
  <c r="D54" i="3" s="1"/>
  <c r="B54" i="3"/>
  <c r="E54" i="3"/>
  <c r="G54" i="3"/>
  <c r="H54" i="3"/>
  <c r="J55" i="3" l="1"/>
  <c r="A56" i="3"/>
  <c r="F54" i="3"/>
  <c r="I54" i="3"/>
  <c r="D55" i="3" s="1"/>
  <c r="B55" i="3"/>
  <c r="E55" i="3"/>
  <c r="G55" i="3"/>
  <c r="H55" i="3"/>
  <c r="J56" i="3" l="1"/>
  <c r="A57" i="3"/>
  <c r="F55" i="3"/>
  <c r="I55" i="3" s="1"/>
  <c r="D56" i="3" s="1"/>
  <c r="B56" i="3"/>
  <c r="E56" i="3"/>
  <c r="G56" i="3"/>
  <c r="H56" i="3"/>
  <c r="J57" i="3" l="1"/>
  <c r="A58" i="3"/>
  <c r="F56" i="3"/>
  <c r="I56" i="3"/>
  <c r="D57" i="3" s="1"/>
  <c r="B57" i="3"/>
  <c r="E57" i="3"/>
  <c r="G57" i="3"/>
  <c r="H57" i="3"/>
  <c r="J58" i="3" l="1"/>
  <c r="A59" i="3"/>
  <c r="J59" i="3" s="1"/>
  <c r="F57" i="3"/>
  <c r="I57" i="3"/>
  <c r="D58" i="3" s="1"/>
  <c r="B58" i="3"/>
  <c r="E58" i="3"/>
  <c r="G58" i="3"/>
  <c r="H58" i="3"/>
  <c r="F58" i="3" l="1"/>
  <c r="I58" i="3"/>
  <c r="D59" i="3" s="1"/>
  <c r="B59" i="3"/>
  <c r="E59" i="3"/>
  <c r="G59" i="3"/>
  <c r="H59" i="3"/>
  <c r="F59" i="3" l="1"/>
  <c r="I59" i="3" s="1"/>
</calcChain>
</file>

<file path=xl/sharedStrings.xml><?xml version="1.0" encoding="utf-8"?>
<sst xmlns="http://schemas.openxmlformats.org/spreadsheetml/2006/main" count="50" uniqueCount="50">
  <si>
    <t>Current age</t>
  </si>
  <si>
    <t>Partner's current age</t>
  </si>
  <si>
    <t>Planned retirement age</t>
  </si>
  <si>
    <t>Your expected lifespan</t>
  </si>
  <si>
    <t>Partner's expected lifespan</t>
  </si>
  <si>
    <t>Current home value</t>
  </si>
  <si>
    <t>Outstanding mortgage</t>
  </si>
  <si>
    <t>Annual mortgage rate</t>
  </si>
  <si>
    <t>Years left on mortgage</t>
  </si>
  <si>
    <t>Current Cash/Savings</t>
  </si>
  <si>
    <t>Stock portfolio</t>
  </si>
  <si>
    <t>Annual salary</t>
  </si>
  <si>
    <t>Partner's annual salary</t>
  </si>
  <si>
    <t>% of income saved</t>
  </si>
  <si>
    <t>Monthly Stock contributions</t>
  </si>
  <si>
    <t>Annual inflation</t>
  </si>
  <si>
    <t>Annual investment return</t>
  </si>
  <si>
    <t>Return on cash/savings</t>
  </si>
  <si>
    <t>Safe withdrawal rate</t>
  </si>
  <si>
    <t>Current Superannuation Balance</t>
  </si>
  <si>
    <t>Superannuation growth %</t>
  </si>
  <si>
    <t>Age Pension full annual (couple)</t>
  </si>
  <si>
    <t>Age Pension assets threshold (homeowner couple)</t>
  </si>
  <si>
    <t>Age Pension income threshold (annual)</t>
  </si>
  <si>
    <t>Years to Retirement</t>
  </si>
  <si>
    <t>Years in Retirement</t>
  </si>
  <si>
    <t>Current Combined Salary</t>
  </si>
  <si>
    <t>Annual Savings Contribution</t>
  </si>
  <si>
    <t>Future Value of Current Savings</t>
  </si>
  <si>
    <t>Future Value of Current Stock Portfolio</t>
  </si>
  <si>
    <t>Future Value of Monthly Stock Contributions</t>
  </si>
  <si>
    <t>Total Future Savings</t>
  </si>
  <si>
    <t>Mortgage Balance at Retirement</t>
  </si>
  <si>
    <t>Home Value at Retirement</t>
  </si>
  <si>
    <t>Net Home Equity at Retirement</t>
  </si>
  <si>
    <t>Required Annual Income (ASFA, inflation adjusted)</t>
  </si>
  <si>
    <t>Required Retirement Corpus</t>
  </si>
  <si>
    <t>Pension Assets Test</t>
  </si>
  <si>
    <t>Pension Income Test</t>
  </si>
  <si>
    <t>Estimated Pension</t>
  </si>
  <si>
    <t>Year</t>
  </si>
  <si>
    <t>Age (You)</t>
  </si>
  <si>
    <t>Age (Partner)</t>
  </si>
  <si>
    <t>Start Balance</t>
  </si>
  <si>
    <t>Contributions</t>
  </si>
  <si>
    <t>Investment Growth</t>
  </si>
  <si>
    <t>Withdrawals</t>
  </si>
  <si>
    <t>Pension</t>
  </si>
  <si>
    <t>End Balance</t>
  </si>
  <si>
    <t>Required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</si>
</sst>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6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66" fontId="0" fillId="0" borderId="0" xfId="2" applyNumberFormat="1" applyFon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End Balance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Projection!$I$1</c:f>
              <c:strCache>
                <c:ptCount val="1"/>
                <c:pt idx="0">
                  <c:v>End 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Projection!$A$2:$A$60</c:f>
              <c:numCache>
                <c:formatCode>General</c:formatCode>
                <c:ptCount val="59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</c:numCache>
            </c:numRef>
          </c:cat>
          <c:val>
            <c:numRef>
              <c:f>Projection!$I$2:$I$60</c:f>
              <c:numCache>
                <c:formatCode>_("$"* #,##0.00_);_("$"* \(#,##0.00\);_("$"* "-"??_);_(@_)</c:formatCode>
                <c:ptCount val="59"/>
                <c:pt idx="0">
                  <c:v>494340</c:v>
                </c:pt>
                <c:pt idx="1">
                  <c:v>577093.80000000005</c:v>
                </c:pt>
                <c:pt idx="2">
                  <c:v>665640.36600000004</c:v>
                </c:pt>
                <c:pt idx="3">
                  <c:v>760385.19162000006</c:v>
                </c:pt>
                <c:pt idx="4">
                  <c:v>861762.15503340005</c:v>
                </c:pt>
                <c:pt idx="5">
                  <c:v>970235.50588573806</c:v>
                </c:pt>
                <c:pt idx="6">
                  <c:v>1086301.9912977398</c:v>
                </c:pt>
                <c:pt idx="7">
                  <c:v>1210493.1306885816</c:v>
                </c:pt>
                <c:pt idx="8">
                  <c:v>1343377.6498367824</c:v>
                </c:pt>
                <c:pt idx="9">
                  <c:v>1485564.085325357</c:v>
                </c:pt>
                <c:pt idx="10">
                  <c:v>1637703.571298132</c:v>
                </c:pt>
                <c:pt idx="11">
                  <c:v>1800492.8212890013</c:v>
                </c:pt>
                <c:pt idx="12">
                  <c:v>1974677.3187792313</c:v>
                </c:pt>
                <c:pt idx="13">
                  <c:v>2161054.7310937773</c:v>
                </c:pt>
                <c:pt idx="14">
                  <c:v>2360478.5622703419</c:v>
                </c:pt>
                <c:pt idx="15">
                  <c:v>2573862.061629266</c:v>
                </c:pt>
                <c:pt idx="16">
                  <c:v>2802182.4059433145</c:v>
                </c:pt>
                <c:pt idx="17">
                  <c:v>3046485.1743593467</c:v>
                </c:pt>
                <c:pt idx="18">
                  <c:v>3307889.1365645011</c:v>
                </c:pt>
                <c:pt idx="19">
                  <c:v>3587591.376124016</c:v>
                </c:pt>
                <c:pt idx="20">
                  <c:v>3710662.4718904234</c:v>
                </c:pt>
                <c:pt idx="21">
                  <c:v>3838506.7353436113</c:v>
                </c:pt>
                <c:pt idx="22">
                  <c:v>3971343.0339511479</c:v>
                </c:pt>
                <c:pt idx="23">
                  <c:v>4109402.0982752172</c:v>
                </c:pt>
                <c:pt idx="24">
                  <c:v>4252927.2486603949</c:v>
                </c:pt>
                <c:pt idx="25">
                  <c:v>4402175.169677713</c:v>
                </c:pt>
                <c:pt idx="26">
                  <c:v>4557416.7355745761</c:v>
                </c:pt>
                <c:pt idx="27">
                  <c:v>4718937.8902048022</c:v>
                </c:pt>
                <c:pt idx="28">
                  <c:v>4887040.5851533441</c:v>
                </c:pt>
                <c:pt idx="29">
                  <c:v>5062043.7800273104</c:v>
                </c:pt>
                <c:pt idx="30">
                  <c:v>5244284.5091598518</c:v>
                </c:pt>
                <c:pt idx="31">
                  <c:v>5434119.0192675898</c:v>
                </c:pt>
                <c:pt idx="32">
                  <c:v>5631923.9829168655</c:v>
                </c:pt>
                <c:pt idx="33">
                  <c:v>5838097.7929906072</c:v>
                </c:pt>
                <c:pt idx="34">
                  <c:v>6053061.9437075974</c:v>
                </c:pt>
                <c:pt idx="35">
                  <c:v>6277262.504131007</c:v>
                </c:pt>
                <c:pt idx="36">
                  <c:v>6511171.6905149715</c:v>
                </c:pt>
                <c:pt idx="37">
                  <c:v>6755289.5442786571</c:v>
                </c:pt>
                <c:pt idx="38">
                  <c:v>7010145.7228686297</c:v>
                </c:pt>
                <c:pt idx="39">
                  <c:v>7276301.4112746138</c:v>
                </c:pt>
                <c:pt idx="40">
                  <c:v>7554351.3625031719</c:v>
                </c:pt>
                <c:pt idx="41">
                  <c:v>7844926.0758909099</c:v>
                </c:pt>
                <c:pt idx="42">
                  <c:v>8148694.1227561645</c:v>
                </c:pt>
                <c:pt idx="43">
                  <c:v>8466364.6295485739</c:v>
                </c:pt>
                <c:pt idx="44">
                  <c:v>8798689.9293624368</c:v>
                </c:pt>
                <c:pt idx="45">
                  <c:v>9146468.3934356347</c:v>
                </c:pt>
                <c:pt idx="46">
                  <c:v>9510547.4550644904</c:v>
                </c:pt>
                <c:pt idx="47">
                  <c:v>9891826.8392300177</c:v>
                </c:pt>
                <c:pt idx="48">
                  <c:v>10291262.012156462</c:v>
                </c:pt>
                <c:pt idx="49">
                  <c:v>10709867.866013167</c:v>
                </c:pt>
                <c:pt idx="50">
                  <c:v>11148722.655030014</c:v>
                </c:pt>
                <c:pt idx="51">
                  <c:v>11608972.200429918</c:v>
                </c:pt>
                <c:pt idx="52">
                  <c:v>12091834.38279425</c:v>
                </c:pt>
                <c:pt idx="53">
                  <c:v>12598603.941774111</c:v>
                </c:pt>
                <c:pt idx="54">
                  <c:v>13130657.604448091</c:v>
                </c:pt>
                <c:pt idx="55">
                  <c:v>13689459.565111743</c:v>
                </c:pt>
                <c:pt idx="56">
                  <c:v>14276567.34087242</c:v>
                </c:pt>
                <c:pt idx="57">
                  <c:v>14893638.029122429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6-4668-8C8C-2CBEE72E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Balance ($)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0" sqref="A20"/>
    </sheetView>
  </sheetViews>
  <sheetFormatPr defaultRowHeight="14.4" x14ac:dyDescent="0.3"/>
  <cols>
    <col min="1" max="1" width="42.5546875" bestFit="1" customWidth="1"/>
    <col min="2" max="2" width="12.33203125" bestFit="1" customWidth="1"/>
  </cols>
  <sheetData>
    <row r="1" spans="1:2" x14ac:dyDescent="0.3">
      <c r="A1" t="s">
        <v>0</v>
      </c>
      <c r="B1">
        <v>49</v>
      </c>
    </row>
    <row r="2" spans="1:2" x14ac:dyDescent="0.3">
      <c r="A2" t="s">
        <v>1</v>
      </c>
      <c r="B2">
        <v>44</v>
      </c>
    </row>
    <row r="3" spans="1:2" x14ac:dyDescent="0.3">
      <c r="A3" t="s">
        <v>2</v>
      </c>
      <c r="B3">
        <v>68</v>
      </c>
    </row>
    <row r="4" spans="1:2" x14ac:dyDescent="0.3">
      <c r="A4" t="s">
        <v>3</v>
      </c>
      <c r="B4">
        <v>95</v>
      </c>
    </row>
    <row r="5" spans="1:2" x14ac:dyDescent="0.3">
      <c r="A5" t="s">
        <v>4</v>
      </c>
      <c r="B5">
        <v>99</v>
      </c>
    </row>
    <row r="6" spans="1:2" x14ac:dyDescent="0.3">
      <c r="A6" t="s">
        <v>5</v>
      </c>
      <c r="B6" s="1">
        <v>700000</v>
      </c>
    </row>
    <row r="7" spans="1:2" x14ac:dyDescent="0.3">
      <c r="A7" t="s">
        <v>6</v>
      </c>
      <c r="B7" s="1">
        <v>500000</v>
      </c>
    </row>
    <row r="8" spans="1:2" x14ac:dyDescent="0.3">
      <c r="A8" t="s">
        <v>7</v>
      </c>
      <c r="B8" s="2">
        <v>0.05</v>
      </c>
    </row>
    <row r="9" spans="1:2" x14ac:dyDescent="0.3">
      <c r="A9" t="s">
        <v>8</v>
      </c>
      <c r="B9">
        <v>25.3</v>
      </c>
    </row>
    <row r="10" spans="1:2" x14ac:dyDescent="0.3">
      <c r="A10" t="s">
        <v>9</v>
      </c>
      <c r="B10" s="1">
        <v>55000</v>
      </c>
    </row>
    <row r="11" spans="1:2" x14ac:dyDescent="0.3">
      <c r="A11" t="s">
        <v>10</v>
      </c>
      <c r="B11" s="1">
        <v>62000</v>
      </c>
    </row>
    <row r="12" spans="1:2" x14ac:dyDescent="0.3">
      <c r="A12" t="s">
        <v>11</v>
      </c>
      <c r="B12" s="1">
        <v>140000</v>
      </c>
    </row>
    <row r="13" spans="1:2" x14ac:dyDescent="0.3">
      <c r="A13" t="s">
        <v>12</v>
      </c>
      <c r="B13" s="1">
        <v>36000</v>
      </c>
    </row>
    <row r="14" spans="1:2" x14ac:dyDescent="0.3">
      <c r="A14" t="s">
        <v>13</v>
      </c>
      <c r="B14" s="2">
        <v>0.1</v>
      </c>
    </row>
    <row r="15" spans="1:2" x14ac:dyDescent="0.3">
      <c r="A15" t="s">
        <v>14</v>
      </c>
      <c r="B15" s="1">
        <v>1000</v>
      </c>
    </row>
    <row r="16" spans="1:2" x14ac:dyDescent="0.3">
      <c r="A16" t="s">
        <v>15</v>
      </c>
      <c r="B16" s="2">
        <v>0.03</v>
      </c>
    </row>
    <row r="17" spans="1:2" x14ac:dyDescent="0.3">
      <c r="A17" t="s">
        <v>16</v>
      </c>
      <c r="B17" s="2">
        <v>7.0000000000000007E-2</v>
      </c>
    </row>
    <row r="18" spans="1:2" x14ac:dyDescent="0.3">
      <c r="A18" t="s">
        <v>17</v>
      </c>
      <c r="B18" s="2">
        <v>0.04</v>
      </c>
    </row>
    <row r="19" spans="1:2" x14ac:dyDescent="0.3">
      <c r="A19" t="s">
        <v>18</v>
      </c>
      <c r="B19" s="2">
        <v>0.04</v>
      </c>
    </row>
    <row r="20" spans="1:2" x14ac:dyDescent="0.3">
      <c r="A20" t="s">
        <v>19</v>
      </c>
      <c r="B20" s="1">
        <f>300000</f>
        <v>300000</v>
      </c>
    </row>
    <row r="21" spans="1:2" x14ac:dyDescent="0.3">
      <c r="A21" t="s">
        <v>20</v>
      </c>
      <c r="B21" s="2">
        <v>0.09</v>
      </c>
    </row>
    <row r="22" spans="1:2" x14ac:dyDescent="0.3">
      <c r="A22" t="s">
        <v>21</v>
      </c>
      <c r="B22" s="1">
        <v>46202</v>
      </c>
    </row>
    <row r="23" spans="1:2" x14ac:dyDescent="0.3">
      <c r="A23" t="s">
        <v>22</v>
      </c>
      <c r="B23" s="1">
        <v>481500</v>
      </c>
    </row>
    <row r="24" spans="1:2" x14ac:dyDescent="0.3">
      <c r="A24" t="s">
        <v>23</v>
      </c>
      <c r="B24" s="1">
        <v>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16" sqref="B16"/>
    </sheetView>
  </sheetViews>
  <sheetFormatPr defaultRowHeight="14.4" x14ac:dyDescent="0.3"/>
  <cols>
    <col min="1" max="1" width="42.21875" bestFit="1" customWidth="1"/>
    <col min="2" max="2" width="13.88671875" bestFit="1" customWidth="1"/>
  </cols>
  <sheetData>
    <row r="1" spans="1:2" x14ac:dyDescent="0.3">
      <c r="A1" t="s">
        <v>24</v>
      </c>
      <c r="B1">
        <f>Inputs!B3-Inputs!B1</f>
        <v>19</v>
      </c>
    </row>
    <row r="2" spans="1:2" x14ac:dyDescent="0.3">
      <c r="A2" t="s">
        <v>25</v>
      </c>
      <c r="B2">
        <f>Inputs!B4-Inputs!B3</f>
        <v>27</v>
      </c>
    </row>
    <row r="3" spans="1:2" x14ac:dyDescent="0.3">
      <c r="A3" t="s">
        <v>26</v>
      </c>
      <c r="B3" s="1">
        <f>Inputs!B12+Inputs!B13</f>
        <v>176000</v>
      </c>
    </row>
    <row r="4" spans="1:2" x14ac:dyDescent="0.3">
      <c r="A4" t="s">
        <v>27</v>
      </c>
      <c r="B4" s="1">
        <f>(Inputs!B12+Inputs!B13)*Inputs!B14</f>
        <v>17600</v>
      </c>
    </row>
    <row r="5" spans="1:2" x14ac:dyDescent="0.3">
      <c r="A5" t="s">
        <v>28</v>
      </c>
      <c r="B5" s="1">
        <f>FV(Inputs!B17, Calculations!B1, 0, -Inputs!B10)</f>
        <v>198909.01442685971</v>
      </c>
    </row>
    <row r="6" spans="1:2" x14ac:dyDescent="0.3">
      <c r="A6" t="s">
        <v>29</v>
      </c>
      <c r="B6" s="1">
        <f>FV(Inputs!B17, Calculations!B1, 0, -Inputs!B11)</f>
        <v>224224.70717209639</v>
      </c>
    </row>
    <row r="7" spans="1:2" x14ac:dyDescent="0.3">
      <c r="A7" t="s">
        <v>30</v>
      </c>
      <c r="B7" s="1">
        <f>FV(Inputs!B17/12, Calculations!B1*12, -Inputs!B15, 0, 1)</f>
        <v>477016.93080622668</v>
      </c>
    </row>
    <row r="8" spans="1:2" x14ac:dyDescent="0.3">
      <c r="A8" t="s">
        <v>31</v>
      </c>
      <c r="B8" s="1">
        <f>Calculations!B5+Calculations!B6+Calculations!B7</f>
        <v>900150.65240518283</v>
      </c>
    </row>
    <row r="9" spans="1:2" x14ac:dyDescent="0.3">
      <c r="A9" t="s">
        <v>32</v>
      </c>
      <c r="B9" s="1">
        <f>FV(Inputs!B8/12, Inputs!B9*12-Calculations!B1*12, -PMT(Inputs!B8/12, Inputs!B9*12, Inputs!B7), -Inputs!B7)</f>
        <v>427112.66881686077</v>
      </c>
    </row>
    <row r="10" spans="1:2" x14ac:dyDescent="0.3">
      <c r="A10" t="s">
        <v>33</v>
      </c>
      <c r="B10" s="1">
        <f>FV(Inputs!B16, Calculations!B1, 0, -Inputs!B6)</f>
        <v>1227454.2371539702</v>
      </c>
    </row>
    <row r="11" spans="1:2" x14ac:dyDescent="0.3">
      <c r="A11" t="s">
        <v>34</v>
      </c>
      <c r="B11" s="1">
        <f>Calculations!B10-Calculations!B9</f>
        <v>800341.56833710941</v>
      </c>
    </row>
    <row r="12" spans="1:2" x14ac:dyDescent="0.3">
      <c r="A12" t="s">
        <v>35</v>
      </c>
      <c r="B12" s="1">
        <f>73031*(1+Inputs!B16)^Calculations!B1</f>
        <v>128060.30056227371</v>
      </c>
    </row>
    <row r="13" spans="1:2" x14ac:dyDescent="0.3">
      <c r="A13" t="s">
        <v>36</v>
      </c>
      <c r="B13" s="1">
        <f>Calculations!B12*Calculations!B2</f>
        <v>3457628.1151813902</v>
      </c>
    </row>
    <row r="14" spans="1:2" x14ac:dyDescent="0.3">
      <c r="A14" t="s">
        <v>37</v>
      </c>
      <c r="B14" s="1">
        <f>MAX(0, Inputs!B22 - ((MAX(0, Calculations!B8-Inputs!B23)/1000)*3*26))</f>
        <v>13547.249112395741</v>
      </c>
    </row>
    <row r="15" spans="1:2" x14ac:dyDescent="0.3">
      <c r="A15" t="s">
        <v>38</v>
      </c>
      <c r="B15">
        <f>MAX(0, Inputs!B22 - (MAX(0, Calculations!B12-Inputs!B24)*0.5))</f>
        <v>0</v>
      </c>
    </row>
    <row r="16" spans="1:2" x14ac:dyDescent="0.3">
      <c r="A16" t="s">
        <v>39</v>
      </c>
      <c r="B16">
        <f>MIN(Calculations!B14, Calculations!B15)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"/>
  <sheetViews>
    <sheetView workbookViewId="0">
      <selection activeCell="D10" sqref="D10"/>
    </sheetView>
  </sheetViews>
  <sheetFormatPr defaultRowHeight="14.4" x14ac:dyDescent="0.3"/>
  <cols>
    <col min="1" max="1" width="5" bestFit="1" customWidth="1"/>
    <col min="2" max="2" width="8.6640625" bestFit="1" customWidth="1"/>
    <col min="3" max="3" width="11.5546875" bestFit="1" customWidth="1"/>
    <col min="4" max="4" width="14.88671875" bestFit="1" customWidth="1"/>
    <col min="5" max="5" width="12" bestFit="1" customWidth="1"/>
    <col min="6" max="6" width="16.77734375" bestFit="1" customWidth="1"/>
    <col min="7" max="7" width="12.33203125" bestFit="1" customWidth="1"/>
    <col min="8" max="8" width="7.33203125" bestFit="1" customWidth="1"/>
    <col min="9" max="10" width="14.88671875" bestFit="1" customWidth="1"/>
  </cols>
  <sheetData>
    <row r="1" spans="1:10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3">
      <c r="A2">
        <v>2025</v>
      </c>
      <c r="B2">
        <f>Inputs!B1</f>
        <v>49</v>
      </c>
      <c r="C2">
        <f>Inputs!B2</f>
        <v>44</v>
      </c>
      <c r="D2" s="1">
        <f>Inputs!B10+Inputs!B11+Inputs!B20</f>
        <v>417000</v>
      </c>
      <c r="E2" s="1">
        <f>(Inputs!B12+Inputs!B13)*Inputs!B14+Inputs!B15*12+Inputs!B12*0.11</f>
        <v>45000</v>
      </c>
      <c r="F2" s="1">
        <f>(D2+E2)*Inputs!B17</f>
        <v>32340.000000000004</v>
      </c>
      <c r="G2" s="1">
        <v>0</v>
      </c>
      <c r="H2" s="1">
        <v>0</v>
      </c>
      <c r="I2" s="1">
        <f t="shared" ref="I2:I33" si="0">D2+E2+F2-G2+H2</f>
        <v>494340</v>
      </c>
      <c r="J2" s="1">
        <f>73031*(1+Inputs!B16)^(A2-2025)</f>
        <v>73031</v>
      </c>
    </row>
    <row r="3" spans="1:10" x14ac:dyDescent="0.3">
      <c r="A3">
        <f t="shared" ref="A3:A34" si="1">A2+1</f>
        <v>2026</v>
      </c>
      <c r="B3">
        <f t="shared" ref="B3:B34" si="2">B2+1</f>
        <v>50</v>
      </c>
      <c r="C3">
        <f t="shared" ref="C3:C34" si="3">C2+1</f>
        <v>45</v>
      </c>
      <c r="D3" s="1">
        <f t="shared" ref="D3:D34" si="4">I2</f>
        <v>494340</v>
      </c>
      <c r="E3" s="1">
        <f>IF(B2&lt;Inputs!B3,(Inputs!B12+Inputs!B13)*Inputs!B14+Inputs!B15*12+Inputs!B12*0.11,0)</f>
        <v>45000</v>
      </c>
      <c r="F3" s="1">
        <f>(D3+E3)*Inputs!B17</f>
        <v>37753.800000000003</v>
      </c>
      <c r="G3" s="1">
        <f>IF(B2&gt;=Inputs!B3, J2-H2, 0)</f>
        <v>0</v>
      </c>
      <c r="H3" s="1">
        <f>IF(B2&gt;=Inputs!B3, Calculations!B16, 0)</f>
        <v>0</v>
      </c>
      <c r="I3" s="1">
        <f t="shared" si="0"/>
        <v>577093.80000000005</v>
      </c>
      <c r="J3" s="1">
        <f>73031*(1+Inputs!B16)^(A3-2025)</f>
        <v>75221.930000000008</v>
      </c>
    </row>
    <row r="4" spans="1:10" x14ac:dyDescent="0.3">
      <c r="A4">
        <f t="shared" si="1"/>
        <v>2027</v>
      </c>
      <c r="B4">
        <f t="shared" si="2"/>
        <v>51</v>
      </c>
      <c r="C4">
        <f t="shared" si="3"/>
        <v>46</v>
      </c>
      <c r="D4" s="1">
        <f t="shared" si="4"/>
        <v>577093.80000000005</v>
      </c>
      <c r="E4" s="1">
        <f>IF(B3&lt;Inputs!B3,(Inputs!B12+Inputs!B13)*Inputs!B14+Inputs!B15*12+Inputs!B12*0.11,0)</f>
        <v>45000</v>
      </c>
      <c r="F4" s="1">
        <f>(D4+E4)*Inputs!B17</f>
        <v>43546.566000000006</v>
      </c>
      <c r="G4" s="1">
        <f>IF(B3&gt;=Inputs!B3, J3-H3, 0)</f>
        <v>0</v>
      </c>
      <c r="H4" s="1">
        <f>IF(B3&gt;=Inputs!B3, Calculations!B16, 0)</f>
        <v>0</v>
      </c>
      <c r="I4" s="1">
        <f t="shared" si="0"/>
        <v>665640.36600000004</v>
      </c>
      <c r="J4" s="1">
        <f>73031*(1+Inputs!B16)^(A4-2025)</f>
        <v>77478.587899999999</v>
      </c>
    </row>
    <row r="5" spans="1:10" x14ac:dyDescent="0.3">
      <c r="A5">
        <f t="shared" si="1"/>
        <v>2028</v>
      </c>
      <c r="B5">
        <f t="shared" si="2"/>
        <v>52</v>
      </c>
      <c r="C5">
        <f t="shared" si="3"/>
        <v>47</v>
      </c>
      <c r="D5" s="1">
        <f t="shared" si="4"/>
        <v>665640.36600000004</v>
      </c>
      <c r="E5" s="1">
        <f>IF(B4&lt;Inputs!B3,(Inputs!B12+Inputs!B13)*Inputs!B14+Inputs!B15*12+Inputs!B12*0.11,0)</f>
        <v>45000</v>
      </c>
      <c r="F5" s="1">
        <f>(D5+E5)*Inputs!B17</f>
        <v>49744.825620000011</v>
      </c>
      <c r="G5" s="1">
        <f>IF(B4&gt;=Inputs!B3, J4-H4, 0)</f>
        <v>0</v>
      </c>
      <c r="H5" s="1">
        <f>IF(B4&gt;=Inputs!B3, Calculations!B16, 0)</f>
        <v>0</v>
      </c>
      <c r="I5" s="1">
        <f t="shared" si="0"/>
        <v>760385.19162000006</v>
      </c>
      <c r="J5" s="1">
        <f>73031*(1+Inputs!B16)^(A5-2025)</f>
        <v>79802.945537000007</v>
      </c>
    </row>
    <row r="6" spans="1:10" x14ac:dyDescent="0.3">
      <c r="A6">
        <f t="shared" si="1"/>
        <v>2029</v>
      </c>
      <c r="B6">
        <f t="shared" si="2"/>
        <v>53</v>
      </c>
      <c r="C6">
        <f t="shared" si="3"/>
        <v>48</v>
      </c>
      <c r="D6" s="1">
        <f t="shared" si="4"/>
        <v>760385.19162000006</v>
      </c>
      <c r="E6" s="1">
        <f>IF(B5&lt;Inputs!B3,(Inputs!B12+Inputs!B13)*Inputs!B14+Inputs!B15*12+Inputs!B12*0.11,0)</f>
        <v>45000</v>
      </c>
      <c r="F6" s="1">
        <f>(D6+E6)*Inputs!B17</f>
        <v>56376.963413400008</v>
      </c>
      <c r="G6" s="1">
        <f>IF(B5&gt;=Inputs!B3, J5-H5, 0)</f>
        <v>0</v>
      </c>
      <c r="H6" s="1">
        <f>IF(B5&gt;=Inputs!B3, Calculations!B16, 0)</f>
        <v>0</v>
      </c>
      <c r="I6" s="1">
        <f t="shared" si="0"/>
        <v>861762.15503340005</v>
      </c>
      <c r="J6" s="1">
        <f>73031*(1+Inputs!B16)^(A6-2025)</f>
        <v>82197.033903109987</v>
      </c>
    </row>
    <row r="7" spans="1:10" x14ac:dyDescent="0.3">
      <c r="A7">
        <f t="shared" si="1"/>
        <v>2030</v>
      </c>
      <c r="B7">
        <f t="shared" si="2"/>
        <v>54</v>
      </c>
      <c r="C7">
        <f t="shared" si="3"/>
        <v>49</v>
      </c>
      <c r="D7" s="1">
        <f t="shared" si="4"/>
        <v>861762.15503340005</v>
      </c>
      <c r="E7" s="1">
        <f>IF(B6&lt;Inputs!B3,(Inputs!B12+Inputs!B13)*Inputs!B14+Inputs!B15*12+Inputs!B12*0.11,0)</f>
        <v>45000</v>
      </c>
      <c r="F7" s="1">
        <f>(D7+E7)*Inputs!B17</f>
        <v>63473.350852338008</v>
      </c>
      <c r="G7" s="1">
        <f>IF(B6&gt;=Inputs!B3, J6-H6, 0)</f>
        <v>0</v>
      </c>
      <c r="H7" s="1">
        <f>IF(B6&gt;=Inputs!B3, Calculations!B16, 0)</f>
        <v>0</v>
      </c>
      <c r="I7" s="1">
        <f t="shared" si="0"/>
        <v>970235.50588573806</v>
      </c>
      <c r="J7" s="1">
        <f>73031*(1+Inputs!B16)^(A7-2025)</f>
        <v>84662.944920203285</v>
      </c>
    </row>
    <row r="8" spans="1:10" x14ac:dyDescent="0.3">
      <c r="A8">
        <f t="shared" si="1"/>
        <v>2031</v>
      </c>
      <c r="B8">
        <f t="shared" si="2"/>
        <v>55</v>
      </c>
      <c r="C8">
        <f t="shared" si="3"/>
        <v>50</v>
      </c>
      <c r="D8" s="1">
        <f t="shared" si="4"/>
        <v>970235.50588573806</v>
      </c>
      <c r="E8" s="1">
        <f>IF(B7&lt;Inputs!B3,(Inputs!B12+Inputs!B13)*Inputs!B14+Inputs!B15*12+Inputs!B12*0.11,0)</f>
        <v>45000</v>
      </c>
      <c r="F8" s="1">
        <f>(D8+E8)*Inputs!B17</f>
        <v>71066.485412001668</v>
      </c>
      <c r="G8" s="1">
        <f>IF(B7&gt;=Inputs!B3, J7-H7, 0)</f>
        <v>0</v>
      </c>
      <c r="H8" s="1">
        <f>IF(B7&gt;=Inputs!B3, Calculations!B16, 0)</f>
        <v>0</v>
      </c>
      <c r="I8" s="1">
        <f t="shared" si="0"/>
        <v>1086301.9912977398</v>
      </c>
      <c r="J8" s="1">
        <f>73031*(1+Inputs!B16)^(A8-2025)</f>
        <v>87202.833267809387</v>
      </c>
    </row>
    <row r="9" spans="1:10" x14ac:dyDescent="0.3">
      <c r="A9">
        <f t="shared" si="1"/>
        <v>2032</v>
      </c>
      <c r="B9">
        <f t="shared" si="2"/>
        <v>56</v>
      </c>
      <c r="C9">
        <f t="shared" si="3"/>
        <v>51</v>
      </c>
      <c r="D9" s="1">
        <f t="shared" si="4"/>
        <v>1086301.9912977398</v>
      </c>
      <c r="E9" s="1">
        <f>IF(B8&lt;Inputs!B3,(Inputs!B12+Inputs!B13)*Inputs!B14+Inputs!B15*12+Inputs!B12*0.11,0)</f>
        <v>45000</v>
      </c>
      <c r="F9" s="1">
        <f>(D9+E9)*Inputs!B17</f>
        <v>79191.139390841796</v>
      </c>
      <c r="G9" s="1">
        <f>IF(B8&gt;=Inputs!B3, J8-H8, 0)</f>
        <v>0</v>
      </c>
      <c r="H9" s="1">
        <f>IF(B8&gt;=Inputs!B3, Calculations!B16, 0)</f>
        <v>0</v>
      </c>
      <c r="I9" s="1">
        <f t="shared" si="0"/>
        <v>1210493.1306885816</v>
      </c>
      <c r="J9" s="1">
        <f>73031*(1+Inputs!B16)^(A9-2025)</f>
        <v>89818.918265843677</v>
      </c>
    </row>
    <row r="10" spans="1:10" x14ac:dyDescent="0.3">
      <c r="A10">
        <f t="shared" si="1"/>
        <v>2033</v>
      </c>
      <c r="B10">
        <f t="shared" si="2"/>
        <v>57</v>
      </c>
      <c r="C10">
        <f t="shared" si="3"/>
        <v>52</v>
      </c>
      <c r="D10" s="1">
        <f t="shared" si="4"/>
        <v>1210493.1306885816</v>
      </c>
      <c r="E10" s="1">
        <f>IF(B9&lt;Inputs!B3,(Inputs!B12+Inputs!B13)*Inputs!B14+Inputs!B15*12+Inputs!B12*0.11,0)</f>
        <v>45000</v>
      </c>
      <c r="F10" s="1">
        <f>(D10+E10)*Inputs!B17</f>
        <v>87884.519148200721</v>
      </c>
      <c r="G10" s="1">
        <f>IF(B9&gt;=Inputs!B3, J9-H9, 0)</f>
        <v>0</v>
      </c>
      <c r="H10" s="1">
        <f>IF(B9&gt;=Inputs!B3, Calculations!B16, 0)</f>
        <v>0</v>
      </c>
      <c r="I10" s="1">
        <f t="shared" si="0"/>
        <v>1343377.6498367824</v>
      </c>
      <c r="J10" s="1">
        <f>73031*(1+Inputs!B16)^(A10-2025)</f>
        <v>92513.485813818974</v>
      </c>
    </row>
    <row r="11" spans="1:10" x14ac:dyDescent="0.3">
      <c r="A11">
        <f t="shared" si="1"/>
        <v>2034</v>
      </c>
      <c r="B11">
        <f t="shared" si="2"/>
        <v>58</v>
      </c>
      <c r="C11">
        <f t="shared" si="3"/>
        <v>53</v>
      </c>
      <c r="D11" s="1">
        <f t="shared" si="4"/>
        <v>1343377.6498367824</v>
      </c>
      <c r="E11" s="1">
        <f>IF(B10&lt;Inputs!B3,(Inputs!B12+Inputs!B13)*Inputs!B14+Inputs!B15*12+Inputs!B12*0.11,0)</f>
        <v>45000</v>
      </c>
      <c r="F11" s="1">
        <f>(D11+E11)*Inputs!B17</f>
        <v>97186.435488574774</v>
      </c>
      <c r="G11" s="1">
        <f>IF(B10&gt;=Inputs!B3, J10-H10, 0)</f>
        <v>0</v>
      </c>
      <c r="H11" s="1">
        <f>IF(B10&gt;=Inputs!B3, Calculations!B16, 0)</f>
        <v>0</v>
      </c>
      <c r="I11" s="1">
        <f t="shared" si="0"/>
        <v>1485564.085325357</v>
      </c>
      <c r="J11" s="1">
        <f>73031*(1+Inputs!B16)^(A11-2025)</f>
        <v>95288.890388233558</v>
      </c>
    </row>
    <row r="12" spans="1:10" x14ac:dyDescent="0.3">
      <c r="A12">
        <f t="shared" si="1"/>
        <v>2035</v>
      </c>
      <c r="B12">
        <f t="shared" si="2"/>
        <v>59</v>
      </c>
      <c r="C12">
        <f t="shared" si="3"/>
        <v>54</v>
      </c>
      <c r="D12" s="1">
        <f t="shared" si="4"/>
        <v>1485564.085325357</v>
      </c>
      <c r="E12" s="1">
        <f>IF(B11&lt;Inputs!B3,(Inputs!B12+Inputs!B13)*Inputs!B14+Inputs!B15*12+Inputs!B12*0.11,0)</f>
        <v>45000</v>
      </c>
      <c r="F12" s="1">
        <f>(D12+E12)*Inputs!B17</f>
        <v>107139.485972775</v>
      </c>
      <c r="G12" s="1">
        <f>IF(B11&gt;=Inputs!B3, J11-H11, 0)</f>
        <v>0</v>
      </c>
      <c r="H12" s="1">
        <f>IF(B11&gt;=Inputs!B3, Calculations!B16, 0)</f>
        <v>0</v>
      </c>
      <c r="I12" s="1">
        <f t="shared" si="0"/>
        <v>1637703.571298132</v>
      </c>
      <c r="J12" s="1">
        <f>73031*(1+Inputs!B16)^(A12-2025)</f>
        <v>98147.557099880563</v>
      </c>
    </row>
    <row r="13" spans="1:10" x14ac:dyDescent="0.3">
      <c r="A13">
        <f t="shared" si="1"/>
        <v>2036</v>
      </c>
      <c r="B13">
        <f t="shared" si="2"/>
        <v>60</v>
      </c>
      <c r="C13">
        <f t="shared" si="3"/>
        <v>55</v>
      </c>
      <c r="D13" s="1">
        <f t="shared" si="4"/>
        <v>1637703.571298132</v>
      </c>
      <c r="E13" s="1">
        <f>IF(B12&lt;Inputs!B3,(Inputs!B12+Inputs!B13)*Inputs!B14+Inputs!B15*12+Inputs!B12*0.11,0)</f>
        <v>45000</v>
      </c>
      <c r="F13" s="1">
        <f>(D13+E13)*Inputs!B17</f>
        <v>117789.24999086924</v>
      </c>
      <c r="G13" s="1">
        <f>IF(B12&gt;=Inputs!B3, J12-H12, 0)</f>
        <v>0</v>
      </c>
      <c r="H13" s="1">
        <f>IF(B12&gt;=Inputs!B3, Calculations!B16, 0)</f>
        <v>0</v>
      </c>
      <c r="I13" s="1">
        <f t="shared" si="0"/>
        <v>1800492.8212890013</v>
      </c>
      <c r="J13" s="1">
        <f>73031*(1+Inputs!B16)^(A13-2025)</f>
        <v>101091.98381287698</v>
      </c>
    </row>
    <row r="14" spans="1:10" x14ac:dyDescent="0.3">
      <c r="A14">
        <f t="shared" si="1"/>
        <v>2037</v>
      </c>
      <c r="B14">
        <f t="shared" si="2"/>
        <v>61</v>
      </c>
      <c r="C14">
        <f t="shared" si="3"/>
        <v>56</v>
      </c>
      <c r="D14" s="1">
        <f t="shared" si="4"/>
        <v>1800492.8212890013</v>
      </c>
      <c r="E14" s="1">
        <f>IF(B13&lt;Inputs!B3,(Inputs!B12+Inputs!B13)*Inputs!B14+Inputs!B15*12+Inputs!B12*0.11,0)</f>
        <v>45000</v>
      </c>
      <c r="F14" s="1">
        <f>(D14+E14)*Inputs!B17</f>
        <v>129184.4974902301</v>
      </c>
      <c r="G14" s="1">
        <f>IF(B13&gt;=Inputs!B3, J13-H13, 0)</f>
        <v>0</v>
      </c>
      <c r="H14" s="1">
        <f>IF(B13&gt;=Inputs!B3, Calculations!B16, 0)</f>
        <v>0</v>
      </c>
      <c r="I14" s="1">
        <f t="shared" si="0"/>
        <v>1974677.3187792313</v>
      </c>
      <c r="J14" s="1">
        <f>73031*(1+Inputs!B16)^(A14-2025)</f>
        <v>104124.74332726328</v>
      </c>
    </row>
    <row r="15" spans="1:10" x14ac:dyDescent="0.3">
      <c r="A15">
        <f t="shared" si="1"/>
        <v>2038</v>
      </c>
      <c r="B15">
        <f t="shared" si="2"/>
        <v>62</v>
      </c>
      <c r="C15">
        <f t="shared" si="3"/>
        <v>57</v>
      </c>
      <c r="D15" s="1">
        <f t="shared" si="4"/>
        <v>1974677.3187792313</v>
      </c>
      <c r="E15" s="1">
        <f>IF(B14&lt;Inputs!B3,(Inputs!B12+Inputs!B13)*Inputs!B14+Inputs!B15*12+Inputs!B12*0.11,0)</f>
        <v>45000</v>
      </c>
      <c r="F15" s="1">
        <f>(D15+E15)*Inputs!B17</f>
        <v>141377.41231454621</v>
      </c>
      <c r="G15" s="1">
        <f>IF(B14&gt;=Inputs!B3, J14-H14, 0)</f>
        <v>0</v>
      </c>
      <c r="H15" s="1">
        <f>IF(B14&gt;=Inputs!B3, Calculations!B16, 0)</f>
        <v>0</v>
      </c>
      <c r="I15" s="1">
        <f t="shared" si="0"/>
        <v>2161054.7310937773</v>
      </c>
      <c r="J15" s="1">
        <f>73031*(1+Inputs!B16)^(A15-2025)</f>
        <v>107248.48562708116</v>
      </c>
    </row>
    <row r="16" spans="1:10" x14ac:dyDescent="0.3">
      <c r="A16">
        <f t="shared" si="1"/>
        <v>2039</v>
      </c>
      <c r="B16">
        <f t="shared" si="2"/>
        <v>63</v>
      </c>
      <c r="C16">
        <f t="shared" si="3"/>
        <v>58</v>
      </c>
      <c r="D16" s="1">
        <f t="shared" si="4"/>
        <v>2161054.7310937773</v>
      </c>
      <c r="E16" s="1">
        <f>IF(B15&lt;Inputs!B3,(Inputs!B12+Inputs!B13)*Inputs!B14+Inputs!B15*12+Inputs!B12*0.11,0)</f>
        <v>45000</v>
      </c>
      <c r="F16" s="1">
        <f>(D16+E16)*Inputs!B17</f>
        <v>154423.83117656442</v>
      </c>
      <c r="G16" s="1">
        <f>IF(B15&gt;=Inputs!B3, J15-H15, 0)</f>
        <v>0</v>
      </c>
      <c r="H16" s="1">
        <f>IF(B15&gt;=Inputs!B3, Calculations!B16, 0)</f>
        <v>0</v>
      </c>
      <c r="I16" s="1">
        <f t="shared" si="0"/>
        <v>2360478.5622703419</v>
      </c>
      <c r="J16" s="1">
        <f>73031*(1+Inputs!B16)^(A16-2025)</f>
        <v>110465.94019589361</v>
      </c>
    </row>
    <row r="17" spans="1:10" x14ac:dyDescent="0.3">
      <c r="A17">
        <f t="shared" si="1"/>
        <v>2040</v>
      </c>
      <c r="B17">
        <f t="shared" si="2"/>
        <v>64</v>
      </c>
      <c r="C17">
        <f t="shared" si="3"/>
        <v>59</v>
      </c>
      <c r="D17" s="1">
        <f t="shared" si="4"/>
        <v>2360478.5622703419</v>
      </c>
      <c r="E17" s="1">
        <f>IF(B16&lt;Inputs!B3,(Inputs!B12+Inputs!B13)*Inputs!B14+Inputs!B15*12+Inputs!B12*0.11,0)</f>
        <v>45000</v>
      </c>
      <c r="F17" s="1">
        <f>(D17+E17)*Inputs!B17</f>
        <v>168383.49935892396</v>
      </c>
      <c r="G17" s="1">
        <f>IF(B16&gt;=Inputs!B3, J16-H16, 0)</f>
        <v>0</v>
      </c>
      <c r="H17" s="1">
        <f>IF(B16&gt;=Inputs!B3, Calculations!B16, 0)</f>
        <v>0</v>
      </c>
      <c r="I17" s="1">
        <f t="shared" si="0"/>
        <v>2573862.061629266</v>
      </c>
      <c r="J17" s="1">
        <f>73031*(1+Inputs!B16)^(A17-2025)</f>
        <v>113779.91840177042</v>
      </c>
    </row>
    <row r="18" spans="1:10" x14ac:dyDescent="0.3">
      <c r="A18">
        <f t="shared" si="1"/>
        <v>2041</v>
      </c>
      <c r="B18">
        <f t="shared" si="2"/>
        <v>65</v>
      </c>
      <c r="C18">
        <f t="shared" si="3"/>
        <v>60</v>
      </c>
      <c r="D18" s="1">
        <f t="shared" si="4"/>
        <v>2573862.061629266</v>
      </c>
      <c r="E18" s="1">
        <f>IF(B17&lt;Inputs!B3,(Inputs!B12+Inputs!B13)*Inputs!B14+Inputs!B15*12+Inputs!B12*0.11,0)</f>
        <v>45000</v>
      </c>
      <c r="F18" s="1">
        <f>(D18+E18)*Inputs!B17</f>
        <v>183320.34431404865</v>
      </c>
      <c r="G18" s="1">
        <f>IF(B17&gt;=Inputs!B3, J17-H17, 0)</f>
        <v>0</v>
      </c>
      <c r="H18" s="1">
        <f>IF(B17&gt;=Inputs!B3, Calculations!B16, 0)</f>
        <v>0</v>
      </c>
      <c r="I18" s="1">
        <f t="shared" si="0"/>
        <v>2802182.4059433145</v>
      </c>
      <c r="J18" s="1">
        <f>73031*(1+Inputs!B16)^(A18-2025)</f>
        <v>117193.31595382352</v>
      </c>
    </row>
    <row r="19" spans="1:10" x14ac:dyDescent="0.3">
      <c r="A19">
        <f t="shared" si="1"/>
        <v>2042</v>
      </c>
      <c r="B19">
        <f t="shared" si="2"/>
        <v>66</v>
      </c>
      <c r="C19">
        <f t="shared" si="3"/>
        <v>61</v>
      </c>
      <c r="D19" s="1">
        <f t="shared" si="4"/>
        <v>2802182.4059433145</v>
      </c>
      <c r="E19" s="1">
        <f>IF(B18&lt;Inputs!B3,(Inputs!B12+Inputs!B13)*Inputs!B14+Inputs!B15*12+Inputs!B12*0.11,0)</f>
        <v>45000</v>
      </c>
      <c r="F19" s="1">
        <f>(D19+E19)*Inputs!B17</f>
        <v>199302.76841603205</v>
      </c>
      <c r="G19" s="1">
        <f>IF(B18&gt;=Inputs!B3, J18-H18, 0)</f>
        <v>0</v>
      </c>
      <c r="H19" s="1">
        <f>IF(B18&gt;=Inputs!B3, Calculations!B16, 0)</f>
        <v>0</v>
      </c>
      <c r="I19" s="1">
        <f t="shared" si="0"/>
        <v>3046485.1743593467</v>
      </c>
      <c r="J19" s="1">
        <f>73031*(1+Inputs!B16)^(A19-2025)</f>
        <v>120709.11543243822</v>
      </c>
    </row>
    <row r="20" spans="1:10" x14ac:dyDescent="0.3">
      <c r="A20">
        <f t="shared" si="1"/>
        <v>2043</v>
      </c>
      <c r="B20">
        <f t="shared" si="2"/>
        <v>67</v>
      </c>
      <c r="C20">
        <f t="shared" si="3"/>
        <v>62</v>
      </c>
      <c r="D20" s="1">
        <f t="shared" si="4"/>
        <v>3046485.1743593467</v>
      </c>
      <c r="E20" s="1">
        <f>IF(B19&lt;Inputs!B3,(Inputs!B12+Inputs!B13)*Inputs!B14+Inputs!B15*12+Inputs!B12*0.11,0)</f>
        <v>45000</v>
      </c>
      <c r="F20" s="1">
        <f>(D20+E20)*Inputs!B17</f>
        <v>216403.9622051543</v>
      </c>
      <c r="G20" s="1">
        <f>IF(B19&gt;=Inputs!B3, J19-H19, 0)</f>
        <v>0</v>
      </c>
      <c r="H20" s="1">
        <f>IF(B19&gt;=Inputs!B3, Calculations!B16, 0)</f>
        <v>0</v>
      </c>
      <c r="I20" s="1">
        <f t="shared" si="0"/>
        <v>3307889.1365645011</v>
      </c>
      <c r="J20" s="1">
        <f>73031*(1+Inputs!B16)^(A20-2025)</f>
        <v>124330.38889541138</v>
      </c>
    </row>
    <row r="21" spans="1:10" x14ac:dyDescent="0.3">
      <c r="A21">
        <f t="shared" si="1"/>
        <v>2044</v>
      </c>
      <c r="B21">
        <f t="shared" si="2"/>
        <v>68</v>
      </c>
      <c r="C21">
        <f t="shared" si="3"/>
        <v>63</v>
      </c>
      <c r="D21" s="1">
        <f t="shared" si="4"/>
        <v>3307889.1365645011</v>
      </c>
      <c r="E21" s="1">
        <f>IF(B20&lt;Inputs!B3,(Inputs!B12+Inputs!B13)*Inputs!B14+Inputs!B15*12+Inputs!B12*0.11,0)</f>
        <v>45000</v>
      </c>
      <c r="F21" s="1">
        <f>(D21+E21)*Inputs!B17</f>
        <v>234702.23955951509</v>
      </c>
      <c r="G21" s="1">
        <f>IF(B20&gt;=Inputs!B3, J20-H20, 0)</f>
        <v>0</v>
      </c>
      <c r="H21" s="1">
        <f>IF(B20&gt;=Inputs!B3, Calculations!B16, 0)</f>
        <v>0</v>
      </c>
      <c r="I21" s="1">
        <f t="shared" si="0"/>
        <v>3587591.376124016</v>
      </c>
      <c r="J21" s="1">
        <f>73031*(1+Inputs!B16)^(A21-2025)</f>
        <v>128060.30056227371</v>
      </c>
    </row>
    <row r="22" spans="1:10" x14ac:dyDescent="0.3">
      <c r="A22">
        <f t="shared" si="1"/>
        <v>2045</v>
      </c>
      <c r="B22">
        <f t="shared" si="2"/>
        <v>69</v>
      </c>
      <c r="C22">
        <f t="shared" si="3"/>
        <v>64</v>
      </c>
      <c r="D22" s="1">
        <f t="shared" si="4"/>
        <v>3587591.376124016</v>
      </c>
      <c r="E22" s="1">
        <f>IF(B21&lt;Inputs!B3,(Inputs!B12+Inputs!B13)*Inputs!B14+Inputs!B15*12+Inputs!B12*0.11,0)</f>
        <v>0</v>
      </c>
      <c r="F22" s="1">
        <f>(D22+E22)*Inputs!B17</f>
        <v>251131.39632868115</v>
      </c>
      <c r="G22" s="1">
        <f>IF(B21&gt;=Inputs!B3, J21-H21, 0)</f>
        <v>128060.30056227371</v>
      </c>
      <c r="H22" s="1">
        <f>IF(B21&gt;=Inputs!B3, Calculations!B16, 0)</f>
        <v>0</v>
      </c>
      <c r="I22" s="1">
        <f t="shared" si="0"/>
        <v>3710662.4718904234</v>
      </c>
      <c r="J22" s="1">
        <f>73031*(1+Inputs!B16)^(A22-2025)</f>
        <v>131902.10957914192</v>
      </c>
    </row>
    <row r="23" spans="1:10" x14ac:dyDescent="0.3">
      <c r="A23">
        <f t="shared" si="1"/>
        <v>2046</v>
      </c>
      <c r="B23">
        <f t="shared" si="2"/>
        <v>70</v>
      </c>
      <c r="C23">
        <f t="shared" si="3"/>
        <v>65</v>
      </c>
      <c r="D23" s="1">
        <f t="shared" si="4"/>
        <v>3710662.4718904234</v>
      </c>
      <c r="E23" s="1">
        <f>IF(B22&lt;Inputs!B3,(Inputs!B12+Inputs!B13)*Inputs!B14+Inputs!B15*12+Inputs!B12*0.11,0)</f>
        <v>0</v>
      </c>
      <c r="F23" s="1">
        <f>(D23+E23)*Inputs!B17</f>
        <v>259746.37303232966</v>
      </c>
      <c r="G23" s="1">
        <f>IF(B22&gt;=Inputs!B3, J22-H22, 0)</f>
        <v>131902.10957914192</v>
      </c>
      <c r="H23" s="1">
        <f>IF(B22&gt;=Inputs!B3, Calculations!B16, 0)</f>
        <v>0</v>
      </c>
      <c r="I23" s="1">
        <f t="shared" si="0"/>
        <v>3838506.7353436113</v>
      </c>
      <c r="J23" s="1">
        <f>73031*(1+Inputs!B16)^(A23-2025)</f>
        <v>135859.17286651616</v>
      </c>
    </row>
    <row r="24" spans="1:10" x14ac:dyDescent="0.3">
      <c r="A24">
        <f t="shared" si="1"/>
        <v>2047</v>
      </c>
      <c r="B24">
        <f t="shared" si="2"/>
        <v>71</v>
      </c>
      <c r="C24">
        <f t="shared" si="3"/>
        <v>66</v>
      </c>
      <c r="D24" s="1">
        <f t="shared" si="4"/>
        <v>3838506.7353436113</v>
      </c>
      <c r="E24" s="1">
        <f>IF(B23&lt;Inputs!B3,(Inputs!B12+Inputs!B13)*Inputs!B14+Inputs!B15*12+Inputs!B12*0.11,0)</f>
        <v>0</v>
      </c>
      <c r="F24" s="1">
        <f>(D24+E24)*Inputs!B17</f>
        <v>268695.47147405281</v>
      </c>
      <c r="G24" s="1">
        <f>IF(B23&gt;=Inputs!B3, J23-H23, 0)</f>
        <v>135859.17286651616</v>
      </c>
      <c r="H24" s="1">
        <f>IF(B23&gt;=Inputs!B3, Calculations!B16, 0)</f>
        <v>0</v>
      </c>
      <c r="I24" s="1">
        <f t="shared" si="0"/>
        <v>3971343.0339511479</v>
      </c>
      <c r="J24" s="1">
        <f>73031*(1+Inputs!B16)^(A24-2025)</f>
        <v>139934.94805251167</v>
      </c>
    </row>
    <row r="25" spans="1:10" x14ac:dyDescent="0.3">
      <c r="A25">
        <f t="shared" si="1"/>
        <v>2048</v>
      </c>
      <c r="B25">
        <f t="shared" si="2"/>
        <v>72</v>
      </c>
      <c r="C25">
        <f t="shared" si="3"/>
        <v>67</v>
      </c>
      <c r="D25" s="1">
        <f t="shared" si="4"/>
        <v>3971343.0339511479</v>
      </c>
      <c r="E25" s="1">
        <f>IF(B24&lt;Inputs!B3,(Inputs!B12+Inputs!B13)*Inputs!B14+Inputs!B15*12+Inputs!B12*0.11,0)</f>
        <v>0</v>
      </c>
      <c r="F25" s="1">
        <f>(D25+E25)*Inputs!B17</f>
        <v>277994.01237658039</v>
      </c>
      <c r="G25" s="1">
        <f>IF(B24&gt;=Inputs!B3, J24-H24, 0)</f>
        <v>139934.94805251167</v>
      </c>
      <c r="H25" s="1">
        <f>IF(B24&gt;=Inputs!B3, Calculations!B16, 0)</f>
        <v>0</v>
      </c>
      <c r="I25" s="1">
        <f t="shared" si="0"/>
        <v>4109402.0982752172</v>
      </c>
      <c r="J25" s="1">
        <f>73031*(1+Inputs!B16)^(A25-2025)</f>
        <v>144132.99649408701</v>
      </c>
    </row>
    <row r="26" spans="1:10" x14ac:dyDescent="0.3">
      <c r="A26">
        <f t="shared" si="1"/>
        <v>2049</v>
      </c>
      <c r="B26">
        <f t="shared" si="2"/>
        <v>73</v>
      </c>
      <c r="C26">
        <f t="shared" si="3"/>
        <v>68</v>
      </c>
      <c r="D26" s="1">
        <f t="shared" si="4"/>
        <v>4109402.0982752172</v>
      </c>
      <c r="E26" s="1">
        <f>IF(B25&lt;Inputs!B3,(Inputs!B12+Inputs!B13)*Inputs!B14+Inputs!B15*12+Inputs!B12*0.11,0)</f>
        <v>0</v>
      </c>
      <c r="F26" s="1">
        <f>(D26+E26)*Inputs!B17</f>
        <v>287658.14687926526</v>
      </c>
      <c r="G26" s="1">
        <f>IF(B25&gt;=Inputs!B3, J25-H25, 0)</f>
        <v>144132.99649408701</v>
      </c>
      <c r="H26" s="1">
        <f>IF(B25&gt;=Inputs!B3, Calculations!B16, 0)</f>
        <v>0</v>
      </c>
      <c r="I26" s="1">
        <f t="shared" si="0"/>
        <v>4252927.2486603949</v>
      </c>
      <c r="J26" s="1">
        <f>73031*(1+Inputs!B16)^(A26-2025)</f>
        <v>148456.9863889096</v>
      </c>
    </row>
    <row r="27" spans="1:10" x14ac:dyDescent="0.3">
      <c r="A27">
        <f t="shared" si="1"/>
        <v>2050</v>
      </c>
      <c r="B27">
        <f t="shared" si="2"/>
        <v>74</v>
      </c>
      <c r="C27">
        <f t="shared" si="3"/>
        <v>69</v>
      </c>
      <c r="D27" s="1">
        <f t="shared" si="4"/>
        <v>4252927.2486603949</v>
      </c>
      <c r="E27" s="1">
        <f>IF(B26&lt;Inputs!B3,(Inputs!B12+Inputs!B13)*Inputs!B14+Inputs!B15*12+Inputs!B12*0.11,0)</f>
        <v>0</v>
      </c>
      <c r="F27" s="1">
        <f>(D27+E27)*Inputs!B17</f>
        <v>297704.90740622766</v>
      </c>
      <c r="G27" s="1">
        <f>IF(B26&gt;=Inputs!B3, J26-H26, 0)</f>
        <v>148456.9863889096</v>
      </c>
      <c r="H27" s="1">
        <f>IF(B26&gt;=Inputs!B3, Calculations!B16, 0)</f>
        <v>0</v>
      </c>
      <c r="I27" s="1">
        <f t="shared" si="0"/>
        <v>4402175.169677713</v>
      </c>
      <c r="J27" s="1">
        <f>73031*(1+Inputs!B16)^(A27-2025)</f>
        <v>152910.69598057689</v>
      </c>
    </row>
    <row r="28" spans="1:10" x14ac:dyDescent="0.3">
      <c r="A28">
        <f t="shared" si="1"/>
        <v>2051</v>
      </c>
      <c r="B28">
        <f t="shared" si="2"/>
        <v>75</v>
      </c>
      <c r="C28">
        <f t="shared" si="3"/>
        <v>70</v>
      </c>
      <c r="D28" s="1">
        <f t="shared" si="4"/>
        <v>4402175.169677713</v>
      </c>
      <c r="E28" s="1">
        <f>IF(B27&lt;Inputs!B3,(Inputs!B12+Inputs!B13)*Inputs!B14+Inputs!B15*12+Inputs!B12*0.11,0)</f>
        <v>0</v>
      </c>
      <c r="F28" s="1">
        <f>(D28+E28)*Inputs!B17</f>
        <v>308152.26187743992</v>
      </c>
      <c r="G28" s="1">
        <f>IF(B27&gt;=Inputs!B3, J27-H27, 0)</f>
        <v>152910.69598057689</v>
      </c>
      <c r="H28" s="1">
        <f>IF(B27&gt;=Inputs!B3, Calculations!B16, 0)</f>
        <v>0</v>
      </c>
      <c r="I28" s="1">
        <f t="shared" si="0"/>
        <v>4557416.7355745761</v>
      </c>
      <c r="J28" s="1">
        <f>73031*(1+Inputs!B16)^(A28-2025)</f>
        <v>157498.01685999421</v>
      </c>
    </row>
    <row r="29" spans="1:10" x14ac:dyDescent="0.3">
      <c r="A29">
        <f t="shared" si="1"/>
        <v>2052</v>
      </c>
      <c r="B29">
        <f t="shared" si="2"/>
        <v>76</v>
      </c>
      <c r="C29">
        <f t="shared" si="3"/>
        <v>71</v>
      </c>
      <c r="D29" s="1">
        <f t="shared" si="4"/>
        <v>4557416.7355745761</v>
      </c>
      <c r="E29" s="1">
        <f>IF(B28&lt;Inputs!B3,(Inputs!B12+Inputs!B13)*Inputs!B14+Inputs!B15*12+Inputs!B12*0.11,0)</f>
        <v>0</v>
      </c>
      <c r="F29" s="1">
        <f>(D29+E29)*Inputs!B17</f>
        <v>319019.17149022035</v>
      </c>
      <c r="G29" s="1">
        <f>IF(B28&gt;=Inputs!B3, J28-H28, 0)</f>
        <v>157498.01685999421</v>
      </c>
      <c r="H29" s="1">
        <f>IF(B28&gt;=Inputs!B3, Calculations!B16, 0)</f>
        <v>0</v>
      </c>
      <c r="I29" s="1">
        <f t="shared" si="0"/>
        <v>4718937.8902048022</v>
      </c>
      <c r="J29" s="1">
        <f>73031*(1+Inputs!B16)^(A29-2025)</f>
        <v>162222.95736579402</v>
      </c>
    </row>
    <row r="30" spans="1:10" x14ac:dyDescent="0.3">
      <c r="A30">
        <f t="shared" si="1"/>
        <v>2053</v>
      </c>
      <c r="B30">
        <f t="shared" si="2"/>
        <v>77</v>
      </c>
      <c r="C30">
        <f t="shared" si="3"/>
        <v>72</v>
      </c>
      <c r="D30" s="1">
        <f t="shared" si="4"/>
        <v>4718937.8902048022</v>
      </c>
      <c r="E30" s="1">
        <f>IF(B29&lt;Inputs!B3,(Inputs!B12+Inputs!B13)*Inputs!B14+Inputs!B15*12+Inputs!B12*0.11,0)</f>
        <v>0</v>
      </c>
      <c r="F30" s="1">
        <f>(D30+E30)*Inputs!B17</f>
        <v>330325.65231433616</v>
      </c>
      <c r="G30" s="1">
        <f>IF(B29&gt;=Inputs!B3, J29-H29, 0)</f>
        <v>162222.95736579402</v>
      </c>
      <c r="H30" s="1">
        <f>IF(B29&gt;=Inputs!B3, Calculations!B16, 0)</f>
        <v>0</v>
      </c>
      <c r="I30" s="1">
        <f t="shared" si="0"/>
        <v>4887040.5851533441</v>
      </c>
      <c r="J30" s="1">
        <f>73031*(1+Inputs!B16)^(A30-2025)</f>
        <v>167089.64608676784</v>
      </c>
    </row>
    <row r="31" spans="1:10" x14ac:dyDescent="0.3">
      <c r="A31">
        <f t="shared" si="1"/>
        <v>2054</v>
      </c>
      <c r="B31">
        <f t="shared" si="2"/>
        <v>78</v>
      </c>
      <c r="C31">
        <f t="shared" si="3"/>
        <v>73</v>
      </c>
      <c r="D31" s="1">
        <f t="shared" si="4"/>
        <v>4887040.5851533441</v>
      </c>
      <c r="E31" s="1">
        <f>IF(B30&lt;Inputs!B3,(Inputs!B12+Inputs!B13)*Inputs!B14+Inputs!B15*12+Inputs!B12*0.11,0)</f>
        <v>0</v>
      </c>
      <c r="F31" s="1">
        <f>(D31+E31)*Inputs!B17</f>
        <v>342092.84096073412</v>
      </c>
      <c r="G31" s="1">
        <f>IF(B30&gt;=Inputs!B3, J30-H30, 0)</f>
        <v>167089.64608676784</v>
      </c>
      <c r="H31" s="1">
        <f>IF(B30&gt;=Inputs!B3, Calculations!B16, 0)</f>
        <v>0</v>
      </c>
      <c r="I31" s="1">
        <f t="shared" si="0"/>
        <v>5062043.7800273104</v>
      </c>
      <c r="J31" s="1">
        <f>73031*(1+Inputs!B16)^(A31-2025)</f>
        <v>172102.33546937085</v>
      </c>
    </row>
    <row r="32" spans="1:10" x14ac:dyDescent="0.3">
      <c r="A32">
        <f t="shared" si="1"/>
        <v>2055</v>
      </c>
      <c r="B32">
        <f t="shared" si="2"/>
        <v>79</v>
      </c>
      <c r="C32">
        <f t="shared" si="3"/>
        <v>74</v>
      </c>
      <c r="D32" s="1">
        <f t="shared" si="4"/>
        <v>5062043.7800273104</v>
      </c>
      <c r="E32" s="1">
        <f>IF(B31&lt;Inputs!B3,(Inputs!B12+Inputs!B13)*Inputs!B14+Inputs!B15*12+Inputs!B12*0.11,0)</f>
        <v>0</v>
      </c>
      <c r="F32" s="1">
        <f>(D32+E32)*Inputs!B17</f>
        <v>354343.06460191176</v>
      </c>
      <c r="G32" s="1">
        <f>IF(B31&gt;=Inputs!B3, J31-H31, 0)</f>
        <v>172102.33546937085</v>
      </c>
      <c r="H32" s="1">
        <f>IF(B31&gt;=Inputs!B3, Calculations!B16, 0)</f>
        <v>0</v>
      </c>
      <c r="I32" s="1">
        <f t="shared" si="0"/>
        <v>5244284.5091598518</v>
      </c>
      <c r="J32" s="1">
        <f>73031*(1+Inputs!B16)^(A32-2025)</f>
        <v>177265.40553345199</v>
      </c>
    </row>
    <row r="33" spans="1:10" x14ac:dyDescent="0.3">
      <c r="A33">
        <f t="shared" si="1"/>
        <v>2056</v>
      </c>
      <c r="B33">
        <f t="shared" si="2"/>
        <v>80</v>
      </c>
      <c r="C33">
        <f t="shared" si="3"/>
        <v>75</v>
      </c>
      <c r="D33" s="1">
        <f t="shared" si="4"/>
        <v>5244284.5091598518</v>
      </c>
      <c r="E33" s="1">
        <f>IF(B32&lt;Inputs!B3,(Inputs!B12+Inputs!B13)*Inputs!B14+Inputs!B15*12+Inputs!B12*0.11,0)</f>
        <v>0</v>
      </c>
      <c r="F33" s="1">
        <f>(D33+E33)*Inputs!B17</f>
        <v>367099.91564118967</v>
      </c>
      <c r="G33" s="1">
        <f>IF(B32&gt;=Inputs!B3, J32-H32, 0)</f>
        <v>177265.40553345199</v>
      </c>
      <c r="H33" s="1">
        <f>IF(B32&gt;=Inputs!B3, Calculations!B16, 0)</f>
        <v>0</v>
      </c>
      <c r="I33" s="1">
        <f t="shared" si="0"/>
        <v>5434119.0192675898</v>
      </c>
      <c r="J33" s="1">
        <f>73031*(1+Inputs!B16)^(A33-2025)</f>
        <v>182583.36769945559</v>
      </c>
    </row>
    <row r="34" spans="1:10" x14ac:dyDescent="0.3">
      <c r="A34">
        <f t="shared" si="1"/>
        <v>2057</v>
      </c>
      <c r="B34">
        <f t="shared" si="2"/>
        <v>81</v>
      </c>
      <c r="C34">
        <f t="shared" si="3"/>
        <v>76</v>
      </c>
      <c r="D34" s="1">
        <f t="shared" si="4"/>
        <v>5434119.0192675898</v>
      </c>
      <c r="E34" s="1">
        <f>IF(B33&lt;Inputs!B3,(Inputs!B12+Inputs!B13)*Inputs!B14+Inputs!B15*12+Inputs!B12*0.11,0)</f>
        <v>0</v>
      </c>
      <c r="F34" s="1">
        <f>(D34+E34)*Inputs!B17</f>
        <v>380388.3313487313</v>
      </c>
      <c r="G34" s="1">
        <f>IF(B33&gt;=Inputs!B3, J33-H33, 0)</f>
        <v>182583.36769945559</v>
      </c>
      <c r="H34" s="1">
        <f>IF(B33&gt;=Inputs!B3, Calculations!B16, 0)</f>
        <v>0</v>
      </c>
      <c r="I34" s="1">
        <f t="shared" ref="I34:I65" si="5">D34+E34+F34-G34+H34</f>
        <v>5631923.9829168655</v>
      </c>
      <c r="J34" s="1">
        <f>73031*(1+Inputs!B16)^(A34-2025)</f>
        <v>188060.86873043922</v>
      </c>
    </row>
    <row r="35" spans="1:10" x14ac:dyDescent="0.3">
      <c r="A35">
        <f t="shared" ref="A35:A59" si="6">A34+1</f>
        <v>2058</v>
      </c>
      <c r="B35">
        <f t="shared" ref="B35:B59" si="7">B34+1</f>
        <v>82</v>
      </c>
      <c r="C35">
        <f t="shared" ref="C35:C59" si="8">C34+1</f>
        <v>77</v>
      </c>
      <c r="D35" s="1">
        <f t="shared" ref="D35:D59" si="9">I34</f>
        <v>5631923.9829168655</v>
      </c>
      <c r="E35" s="1">
        <f>IF(B34&lt;Inputs!B3,(Inputs!B12+Inputs!B13)*Inputs!B14+Inputs!B15*12+Inputs!B12*0.11,0)</f>
        <v>0</v>
      </c>
      <c r="F35" s="1">
        <f>(D35+E35)*Inputs!B17</f>
        <v>394234.67880418064</v>
      </c>
      <c r="G35" s="1">
        <f>IF(B34&gt;=Inputs!B3, J34-H34, 0)</f>
        <v>188060.86873043922</v>
      </c>
      <c r="H35" s="1">
        <f>IF(B34&gt;=Inputs!B3, Calculations!B16, 0)</f>
        <v>0</v>
      </c>
      <c r="I35" s="1">
        <f t="shared" si="5"/>
        <v>5838097.7929906072</v>
      </c>
      <c r="J35" s="1">
        <f>73031*(1+Inputs!B16)^(A35-2025)</f>
        <v>193702.69479235241</v>
      </c>
    </row>
    <row r="36" spans="1:10" x14ac:dyDescent="0.3">
      <c r="A36">
        <f t="shared" si="6"/>
        <v>2059</v>
      </c>
      <c r="B36">
        <f t="shared" si="7"/>
        <v>83</v>
      </c>
      <c r="C36">
        <f t="shared" si="8"/>
        <v>78</v>
      </c>
      <c r="D36" s="1">
        <f t="shared" si="9"/>
        <v>5838097.7929906072</v>
      </c>
      <c r="E36" s="1">
        <f>IF(B35&lt;Inputs!B3,(Inputs!B12+Inputs!B13)*Inputs!B14+Inputs!B15*12+Inputs!B12*0.11,0)</f>
        <v>0</v>
      </c>
      <c r="F36" s="1">
        <f>(D36+E36)*Inputs!B17</f>
        <v>408666.84550934256</v>
      </c>
      <c r="G36" s="1">
        <f>IF(B35&gt;=Inputs!B3, J35-H35, 0)</f>
        <v>193702.69479235241</v>
      </c>
      <c r="H36" s="1">
        <f>IF(B35&gt;=Inputs!B3, Calculations!B16, 0)</f>
        <v>0</v>
      </c>
      <c r="I36" s="1">
        <f t="shared" si="5"/>
        <v>6053061.9437075974</v>
      </c>
      <c r="J36" s="1">
        <f>73031*(1+Inputs!B16)^(A36-2025)</f>
        <v>199513.77563612294</v>
      </c>
    </row>
    <row r="37" spans="1:10" x14ac:dyDescent="0.3">
      <c r="A37">
        <f t="shared" si="6"/>
        <v>2060</v>
      </c>
      <c r="B37">
        <f t="shared" si="7"/>
        <v>84</v>
      </c>
      <c r="C37">
        <f t="shared" si="8"/>
        <v>79</v>
      </c>
      <c r="D37" s="1">
        <f t="shared" si="9"/>
        <v>6053061.9437075974</v>
      </c>
      <c r="E37" s="1">
        <f>IF(B36&lt;Inputs!B3,(Inputs!B12+Inputs!B13)*Inputs!B14+Inputs!B15*12+Inputs!B12*0.11,0)</f>
        <v>0</v>
      </c>
      <c r="F37" s="1">
        <f>(D37+E37)*Inputs!B17</f>
        <v>423714.33605953184</v>
      </c>
      <c r="G37" s="1">
        <f>IF(B36&gt;=Inputs!B3, J36-H36, 0)</f>
        <v>199513.77563612294</v>
      </c>
      <c r="H37" s="1">
        <f>IF(B36&gt;=Inputs!B3, Calculations!B16, 0)</f>
        <v>0</v>
      </c>
      <c r="I37" s="1">
        <f t="shared" si="5"/>
        <v>6277262.504131007</v>
      </c>
      <c r="J37" s="1">
        <f>73031*(1+Inputs!B16)^(A37-2025)</f>
        <v>205499.18890520665</v>
      </c>
    </row>
    <row r="38" spans="1:10" x14ac:dyDescent="0.3">
      <c r="A38">
        <f t="shared" si="6"/>
        <v>2061</v>
      </c>
      <c r="B38">
        <f t="shared" si="7"/>
        <v>85</v>
      </c>
      <c r="C38">
        <f t="shared" si="8"/>
        <v>80</v>
      </c>
      <c r="D38" s="1">
        <f t="shared" si="9"/>
        <v>6277262.504131007</v>
      </c>
      <c r="E38" s="1">
        <f>IF(B37&lt;Inputs!B3,(Inputs!B12+Inputs!B13)*Inputs!B14+Inputs!B15*12+Inputs!B12*0.11,0)</f>
        <v>0</v>
      </c>
      <c r="F38" s="1">
        <f>(D38+E38)*Inputs!B17</f>
        <v>439408.37528917054</v>
      </c>
      <c r="G38" s="1">
        <f>IF(B37&gt;=Inputs!B3, J37-H37, 0)</f>
        <v>205499.18890520665</v>
      </c>
      <c r="H38" s="1">
        <f>IF(B37&gt;=Inputs!B3, Calculations!B16, 0)</f>
        <v>0</v>
      </c>
      <c r="I38" s="1">
        <f t="shared" si="5"/>
        <v>6511171.6905149715</v>
      </c>
      <c r="J38" s="1">
        <f>73031*(1+Inputs!B16)^(A38-2025)</f>
        <v>211664.16457236285</v>
      </c>
    </row>
    <row r="39" spans="1:10" x14ac:dyDescent="0.3">
      <c r="A39">
        <f t="shared" si="6"/>
        <v>2062</v>
      </c>
      <c r="B39">
        <f t="shared" si="7"/>
        <v>86</v>
      </c>
      <c r="C39">
        <f t="shared" si="8"/>
        <v>81</v>
      </c>
      <c r="D39" s="1">
        <f t="shared" si="9"/>
        <v>6511171.6905149715</v>
      </c>
      <c r="E39" s="1">
        <f>IF(B38&lt;Inputs!B3,(Inputs!B12+Inputs!B13)*Inputs!B14+Inputs!B15*12+Inputs!B12*0.11,0)</f>
        <v>0</v>
      </c>
      <c r="F39" s="1">
        <f>(D39+E39)*Inputs!B17</f>
        <v>455782.01833604806</v>
      </c>
      <c r="G39" s="1">
        <f>IF(B38&gt;=Inputs!B3, J38-H38, 0)</f>
        <v>211664.16457236285</v>
      </c>
      <c r="H39" s="1">
        <f>IF(B38&gt;=Inputs!B3, Calculations!B16, 0)</f>
        <v>0</v>
      </c>
      <c r="I39" s="1">
        <f t="shared" si="5"/>
        <v>6755289.5442786571</v>
      </c>
      <c r="J39" s="1">
        <f>73031*(1+Inputs!B16)^(A39-2025)</f>
        <v>218014.08950953369</v>
      </c>
    </row>
    <row r="40" spans="1:10" x14ac:dyDescent="0.3">
      <c r="A40">
        <f t="shared" si="6"/>
        <v>2063</v>
      </c>
      <c r="B40">
        <f t="shared" si="7"/>
        <v>87</v>
      </c>
      <c r="C40">
        <f t="shared" si="8"/>
        <v>82</v>
      </c>
      <c r="D40" s="1">
        <f t="shared" si="9"/>
        <v>6755289.5442786571</v>
      </c>
      <c r="E40" s="1">
        <f>IF(B39&lt;Inputs!B3,(Inputs!B12+Inputs!B13)*Inputs!B14+Inputs!B15*12+Inputs!B12*0.11,0)</f>
        <v>0</v>
      </c>
      <c r="F40" s="1">
        <f>(D40+E40)*Inputs!B17</f>
        <v>472870.26809950604</v>
      </c>
      <c r="G40" s="1">
        <f>IF(B39&gt;=Inputs!B3, J39-H39, 0)</f>
        <v>218014.08950953369</v>
      </c>
      <c r="H40" s="1">
        <f>IF(B39&gt;=Inputs!B3, Calculations!B16, 0)</f>
        <v>0</v>
      </c>
      <c r="I40" s="1">
        <f t="shared" si="5"/>
        <v>7010145.7228686297</v>
      </c>
      <c r="J40" s="1">
        <f>73031*(1+Inputs!B16)^(A40-2025)</f>
        <v>224554.51219481972</v>
      </c>
    </row>
    <row r="41" spans="1:10" x14ac:dyDescent="0.3">
      <c r="A41">
        <f t="shared" si="6"/>
        <v>2064</v>
      </c>
      <c r="B41">
        <f t="shared" si="7"/>
        <v>88</v>
      </c>
      <c r="C41">
        <f t="shared" si="8"/>
        <v>83</v>
      </c>
      <c r="D41" s="1">
        <f t="shared" si="9"/>
        <v>7010145.7228686297</v>
      </c>
      <c r="E41" s="1">
        <f>IF(B40&lt;Inputs!B3,(Inputs!B12+Inputs!B13)*Inputs!B14+Inputs!B15*12+Inputs!B12*0.11,0)</f>
        <v>0</v>
      </c>
      <c r="F41" s="1">
        <f>(D41+E41)*Inputs!B17</f>
        <v>490710.20060080412</v>
      </c>
      <c r="G41" s="1">
        <f>IF(B40&gt;=Inputs!B3, J40-H40, 0)</f>
        <v>224554.51219481972</v>
      </c>
      <c r="H41" s="1">
        <f>IF(B40&gt;=Inputs!B3, Calculations!B16, 0)</f>
        <v>0</v>
      </c>
      <c r="I41" s="1">
        <f t="shared" si="5"/>
        <v>7276301.4112746138</v>
      </c>
      <c r="J41" s="1">
        <f>73031*(1+Inputs!B16)^(A41-2025)</f>
        <v>231291.14756066434</v>
      </c>
    </row>
    <row r="42" spans="1:10" x14ac:dyDescent="0.3">
      <c r="A42">
        <f t="shared" si="6"/>
        <v>2065</v>
      </c>
      <c r="B42">
        <f t="shared" si="7"/>
        <v>89</v>
      </c>
      <c r="C42">
        <f t="shared" si="8"/>
        <v>84</v>
      </c>
      <c r="D42" s="1">
        <f t="shared" si="9"/>
        <v>7276301.4112746138</v>
      </c>
      <c r="E42" s="1">
        <f>IF(B41&lt;Inputs!B3,(Inputs!B12+Inputs!B13)*Inputs!B14+Inputs!B15*12+Inputs!B12*0.11,0)</f>
        <v>0</v>
      </c>
      <c r="F42" s="1">
        <f>(D42+E42)*Inputs!B17</f>
        <v>509341.098789223</v>
      </c>
      <c r="G42" s="1">
        <f>IF(B41&gt;=Inputs!B3, J41-H41, 0)</f>
        <v>231291.14756066434</v>
      </c>
      <c r="H42" s="1">
        <f>IF(B41&gt;=Inputs!B3, Calculations!B16, 0)</f>
        <v>0</v>
      </c>
      <c r="I42" s="1">
        <f t="shared" si="5"/>
        <v>7554351.3625031719</v>
      </c>
      <c r="J42" s="1">
        <f>73031*(1+Inputs!B16)^(A42-2025)</f>
        <v>238229.88198748423</v>
      </c>
    </row>
    <row r="43" spans="1:10" x14ac:dyDescent="0.3">
      <c r="A43">
        <f t="shared" si="6"/>
        <v>2066</v>
      </c>
      <c r="B43">
        <f t="shared" si="7"/>
        <v>90</v>
      </c>
      <c r="C43">
        <f t="shared" si="8"/>
        <v>85</v>
      </c>
      <c r="D43" s="1">
        <f t="shared" si="9"/>
        <v>7554351.3625031719</v>
      </c>
      <c r="E43" s="1">
        <f>IF(B42&lt;Inputs!B3,(Inputs!B12+Inputs!B13)*Inputs!B14+Inputs!B15*12+Inputs!B12*0.11,0)</f>
        <v>0</v>
      </c>
      <c r="F43" s="1">
        <f>(D43+E43)*Inputs!B17</f>
        <v>528804.59537522204</v>
      </c>
      <c r="G43" s="1">
        <f>IF(B42&gt;=Inputs!B3, J42-H42, 0)</f>
        <v>238229.88198748423</v>
      </c>
      <c r="H43" s="1">
        <f>IF(B42&gt;=Inputs!B3, Calculations!B16, 0)</f>
        <v>0</v>
      </c>
      <c r="I43" s="1">
        <f t="shared" si="5"/>
        <v>7844926.0758909099</v>
      </c>
      <c r="J43" s="1">
        <f>73031*(1+Inputs!B16)^(A43-2025)</f>
        <v>245376.77844710878</v>
      </c>
    </row>
    <row r="44" spans="1:10" x14ac:dyDescent="0.3">
      <c r="A44">
        <f t="shared" si="6"/>
        <v>2067</v>
      </c>
      <c r="B44">
        <f t="shared" si="7"/>
        <v>91</v>
      </c>
      <c r="C44">
        <f t="shared" si="8"/>
        <v>86</v>
      </c>
      <c r="D44" s="1">
        <f t="shared" si="9"/>
        <v>7844926.0758909099</v>
      </c>
      <c r="E44" s="1">
        <f>IF(B43&lt;Inputs!B3,(Inputs!B12+Inputs!B13)*Inputs!B14+Inputs!B15*12+Inputs!B12*0.11,0)</f>
        <v>0</v>
      </c>
      <c r="F44" s="1">
        <f>(D44+E44)*Inputs!B17</f>
        <v>549144.8253123638</v>
      </c>
      <c r="G44" s="1">
        <f>IF(B43&gt;=Inputs!B3, J43-H43, 0)</f>
        <v>245376.77844710878</v>
      </c>
      <c r="H44" s="1">
        <f>IF(B43&gt;=Inputs!B3, Calculations!B16, 0)</f>
        <v>0</v>
      </c>
      <c r="I44" s="1">
        <f t="shared" si="5"/>
        <v>8148694.1227561645</v>
      </c>
      <c r="J44" s="1">
        <f>73031*(1+Inputs!B16)^(A44-2025)</f>
        <v>252738.08180052205</v>
      </c>
    </row>
    <row r="45" spans="1:10" x14ac:dyDescent="0.3">
      <c r="A45">
        <f t="shared" si="6"/>
        <v>2068</v>
      </c>
      <c r="B45">
        <f t="shared" si="7"/>
        <v>92</v>
      </c>
      <c r="C45">
        <f t="shared" si="8"/>
        <v>87</v>
      </c>
      <c r="D45" s="1">
        <f t="shared" si="9"/>
        <v>8148694.1227561645</v>
      </c>
      <c r="E45" s="1">
        <f>IF(B44&lt;Inputs!B3,(Inputs!B12+Inputs!B13)*Inputs!B14+Inputs!B15*12+Inputs!B12*0.11,0)</f>
        <v>0</v>
      </c>
      <c r="F45" s="1">
        <f>(D45+E45)*Inputs!B17</f>
        <v>570408.58859293163</v>
      </c>
      <c r="G45" s="1">
        <f>IF(B44&gt;=Inputs!B3, J44-H44, 0)</f>
        <v>252738.08180052205</v>
      </c>
      <c r="H45" s="1">
        <f>IF(B44&gt;=Inputs!B3, Calculations!B16, 0)</f>
        <v>0</v>
      </c>
      <c r="I45" s="1">
        <f t="shared" si="5"/>
        <v>8466364.6295485739</v>
      </c>
      <c r="J45" s="1">
        <f>73031*(1+Inputs!B16)^(A45-2025)</f>
        <v>260320.22425453769</v>
      </c>
    </row>
    <row r="46" spans="1:10" x14ac:dyDescent="0.3">
      <c r="A46">
        <f t="shared" si="6"/>
        <v>2069</v>
      </c>
      <c r="B46">
        <f t="shared" si="7"/>
        <v>93</v>
      </c>
      <c r="C46">
        <f t="shared" si="8"/>
        <v>88</v>
      </c>
      <c r="D46" s="1">
        <f t="shared" si="9"/>
        <v>8466364.6295485739</v>
      </c>
      <c r="E46" s="1">
        <f>IF(B45&lt;Inputs!B3,(Inputs!B12+Inputs!B13)*Inputs!B14+Inputs!B15*12+Inputs!B12*0.11,0)</f>
        <v>0</v>
      </c>
      <c r="F46" s="1">
        <f>(D46+E46)*Inputs!B17</f>
        <v>592645.52406840026</v>
      </c>
      <c r="G46" s="1">
        <f>IF(B45&gt;=Inputs!B3, J45-H45, 0)</f>
        <v>260320.22425453769</v>
      </c>
      <c r="H46" s="1">
        <f>IF(B45&gt;=Inputs!B3, Calculations!B16, 0)</f>
        <v>0</v>
      </c>
      <c r="I46" s="1">
        <f t="shared" si="5"/>
        <v>8798689.9293624368</v>
      </c>
      <c r="J46" s="1">
        <f>73031*(1+Inputs!B16)^(A46-2025)</f>
        <v>268129.83098217379</v>
      </c>
    </row>
    <row r="47" spans="1:10" x14ac:dyDescent="0.3">
      <c r="A47">
        <f t="shared" si="6"/>
        <v>2070</v>
      </c>
      <c r="B47">
        <f t="shared" si="7"/>
        <v>94</v>
      </c>
      <c r="C47">
        <f t="shared" si="8"/>
        <v>89</v>
      </c>
      <c r="D47" s="1">
        <f t="shared" si="9"/>
        <v>8798689.9293624368</v>
      </c>
      <c r="E47" s="1">
        <f>IF(B46&lt;Inputs!B3,(Inputs!B12+Inputs!B13)*Inputs!B14+Inputs!B15*12+Inputs!B12*0.11,0)</f>
        <v>0</v>
      </c>
      <c r="F47" s="1">
        <f>(D47+E47)*Inputs!B17</f>
        <v>615908.29505537066</v>
      </c>
      <c r="G47" s="1">
        <f>IF(B46&gt;=Inputs!B3, J46-H46, 0)</f>
        <v>268129.83098217379</v>
      </c>
      <c r="H47" s="1">
        <f>IF(B46&gt;=Inputs!B3, Calculations!B16, 0)</f>
        <v>0</v>
      </c>
      <c r="I47" s="1">
        <f t="shared" si="5"/>
        <v>9146468.3934356347</v>
      </c>
      <c r="J47" s="1">
        <f>73031*(1+Inputs!B16)^(A47-2025)</f>
        <v>276173.72591163899</v>
      </c>
    </row>
    <row r="48" spans="1:10" x14ac:dyDescent="0.3">
      <c r="A48">
        <f t="shared" si="6"/>
        <v>2071</v>
      </c>
      <c r="B48">
        <f t="shared" si="7"/>
        <v>95</v>
      </c>
      <c r="C48">
        <f t="shared" si="8"/>
        <v>90</v>
      </c>
      <c r="D48" s="1">
        <f t="shared" si="9"/>
        <v>9146468.3934356347</v>
      </c>
      <c r="E48" s="1">
        <f>IF(B47&lt;Inputs!B3,(Inputs!B12+Inputs!B13)*Inputs!B14+Inputs!B15*12+Inputs!B12*0.11,0)</f>
        <v>0</v>
      </c>
      <c r="F48" s="1">
        <f>(D48+E48)*Inputs!B17</f>
        <v>640252.78754049446</v>
      </c>
      <c r="G48" s="1">
        <f>IF(B47&gt;=Inputs!B3, J47-H47, 0)</f>
        <v>276173.72591163899</v>
      </c>
      <c r="H48" s="1">
        <f>IF(B47&gt;=Inputs!B3, Calculations!B16, 0)</f>
        <v>0</v>
      </c>
      <c r="I48" s="1">
        <f t="shared" si="5"/>
        <v>9510547.4550644904</v>
      </c>
      <c r="J48" s="1">
        <f>73031*(1+Inputs!B16)^(A48-2025)</f>
        <v>284458.93768898817</v>
      </c>
    </row>
    <row r="49" spans="1:10" x14ac:dyDescent="0.3">
      <c r="A49">
        <f t="shared" si="6"/>
        <v>2072</v>
      </c>
      <c r="B49">
        <f t="shared" si="7"/>
        <v>96</v>
      </c>
      <c r="C49">
        <f t="shared" si="8"/>
        <v>91</v>
      </c>
      <c r="D49" s="1">
        <f t="shared" si="9"/>
        <v>9510547.4550644904</v>
      </c>
      <c r="E49" s="1">
        <f>IF(B48&lt;Inputs!B3,(Inputs!B12+Inputs!B13)*Inputs!B14+Inputs!B15*12+Inputs!B12*0.11,0)</f>
        <v>0</v>
      </c>
      <c r="F49" s="1">
        <f>(D49+E49)*Inputs!B17</f>
        <v>665738.32185451442</v>
      </c>
      <c r="G49" s="1">
        <f>IF(B48&gt;=Inputs!B3, J48-H48, 0)</f>
        <v>284458.93768898817</v>
      </c>
      <c r="H49" s="1">
        <f>IF(B48&gt;=Inputs!B3, Calculations!B16, 0)</f>
        <v>0</v>
      </c>
      <c r="I49" s="1">
        <f t="shared" si="5"/>
        <v>9891826.8392300177</v>
      </c>
      <c r="J49" s="1">
        <f>73031*(1+Inputs!B16)^(A49-2025)</f>
        <v>292992.70581965789</v>
      </c>
    </row>
    <row r="50" spans="1:10" x14ac:dyDescent="0.3">
      <c r="A50">
        <f t="shared" si="6"/>
        <v>2073</v>
      </c>
      <c r="B50">
        <f t="shared" si="7"/>
        <v>97</v>
      </c>
      <c r="C50">
        <f t="shared" si="8"/>
        <v>92</v>
      </c>
      <c r="D50" s="1">
        <f t="shared" si="9"/>
        <v>9891826.8392300177</v>
      </c>
      <c r="E50" s="1">
        <f>IF(B49&lt;Inputs!B3,(Inputs!B12+Inputs!B13)*Inputs!B14+Inputs!B15*12+Inputs!B12*0.11,0)</f>
        <v>0</v>
      </c>
      <c r="F50" s="1">
        <f>(D50+E50)*Inputs!B17</f>
        <v>692427.87874610128</v>
      </c>
      <c r="G50" s="1">
        <f>IF(B49&gt;=Inputs!B3, J49-H49, 0)</f>
        <v>292992.70581965789</v>
      </c>
      <c r="H50" s="1">
        <f>IF(B49&gt;=Inputs!B3, Calculations!B16, 0)</f>
        <v>0</v>
      </c>
      <c r="I50" s="1">
        <f t="shared" si="5"/>
        <v>10291262.012156462</v>
      </c>
      <c r="J50" s="1">
        <f>73031*(1+Inputs!B16)^(A50-2025)</f>
        <v>301782.48699424759</v>
      </c>
    </row>
    <row r="51" spans="1:10" x14ac:dyDescent="0.3">
      <c r="A51">
        <f t="shared" si="6"/>
        <v>2074</v>
      </c>
      <c r="B51">
        <f t="shared" si="7"/>
        <v>98</v>
      </c>
      <c r="C51">
        <f t="shared" si="8"/>
        <v>93</v>
      </c>
      <c r="D51" s="1">
        <f t="shared" si="9"/>
        <v>10291262.012156462</v>
      </c>
      <c r="E51" s="1">
        <f>IF(B50&lt;Inputs!B3,(Inputs!B12+Inputs!B13)*Inputs!B14+Inputs!B15*12+Inputs!B12*0.11,0)</f>
        <v>0</v>
      </c>
      <c r="F51" s="1">
        <f>(D51+E51)*Inputs!B17</f>
        <v>720388.34085095243</v>
      </c>
      <c r="G51" s="1">
        <f>IF(B50&gt;=Inputs!B3, J50-H50, 0)</f>
        <v>301782.48699424759</v>
      </c>
      <c r="H51" s="1">
        <f>IF(B50&gt;=Inputs!B3, Calculations!B16, 0)</f>
        <v>0</v>
      </c>
      <c r="I51" s="1">
        <f t="shared" si="5"/>
        <v>10709867.866013167</v>
      </c>
      <c r="J51" s="1">
        <f>73031*(1+Inputs!B16)^(A51-2025)</f>
        <v>310835.96160407498</v>
      </c>
    </row>
    <row r="52" spans="1:10" x14ac:dyDescent="0.3">
      <c r="A52">
        <f t="shared" si="6"/>
        <v>2075</v>
      </c>
      <c r="B52">
        <f t="shared" si="7"/>
        <v>99</v>
      </c>
      <c r="C52">
        <f t="shared" si="8"/>
        <v>94</v>
      </c>
      <c r="D52" s="1">
        <f t="shared" si="9"/>
        <v>10709867.866013167</v>
      </c>
      <c r="E52" s="1">
        <f>IF(B51&lt;Inputs!B3,(Inputs!B12+Inputs!B13)*Inputs!B14+Inputs!B15*12+Inputs!B12*0.11,0)</f>
        <v>0</v>
      </c>
      <c r="F52" s="1">
        <f>(D52+E52)*Inputs!B17</f>
        <v>749690.75062092184</v>
      </c>
      <c r="G52" s="1">
        <f>IF(B51&gt;=Inputs!B3, J51-H51, 0)</f>
        <v>310835.96160407498</v>
      </c>
      <c r="H52" s="1">
        <f>IF(B51&gt;=Inputs!B3, Calculations!B16, 0)</f>
        <v>0</v>
      </c>
      <c r="I52" s="1">
        <f t="shared" si="5"/>
        <v>11148722.655030014</v>
      </c>
      <c r="J52" s="1">
        <f>73031*(1+Inputs!B16)^(A52-2025)</f>
        <v>320161.04045219719</v>
      </c>
    </row>
    <row r="53" spans="1:10" x14ac:dyDescent="0.3">
      <c r="A53">
        <f t="shared" si="6"/>
        <v>2076</v>
      </c>
      <c r="B53">
        <f t="shared" si="7"/>
        <v>100</v>
      </c>
      <c r="C53">
        <f t="shared" si="8"/>
        <v>95</v>
      </c>
      <c r="D53" s="1">
        <f t="shared" si="9"/>
        <v>11148722.655030014</v>
      </c>
      <c r="E53" s="1">
        <f>IF(B52&lt;Inputs!B3,(Inputs!B12+Inputs!B13)*Inputs!B14+Inputs!B15*12+Inputs!B12*0.11,0)</f>
        <v>0</v>
      </c>
      <c r="F53" s="1">
        <f>(D53+E53)*Inputs!B17</f>
        <v>780410.5858521011</v>
      </c>
      <c r="G53" s="1">
        <f>IF(B52&gt;=Inputs!B3, J52-H52, 0)</f>
        <v>320161.04045219719</v>
      </c>
      <c r="H53" s="1">
        <f>IF(B52&gt;=Inputs!B3, Calculations!B16, 0)</f>
        <v>0</v>
      </c>
      <c r="I53" s="1">
        <f t="shared" si="5"/>
        <v>11608972.200429918</v>
      </c>
      <c r="J53" s="1">
        <f>73031*(1+Inputs!B16)^(A53-2025)</f>
        <v>329765.87166576314</v>
      </c>
    </row>
    <row r="54" spans="1:10" x14ac:dyDescent="0.3">
      <c r="A54">
        <f t="shared" si="6"/>
        <v>2077</v>
      </c>
      <c r="B54">
        <f t="shared" si="7"/>
        <v>101</v>
      </c>
      <c r="C54">
        <f t="shared" si="8"/>
        <v>96</v>
      </c>
      <c r="D54" s="1">
        <f t="shared" si="9"/>
        <v>11608972.200429918</v>
      </c>
      <c r="E54" s="1">
        <f>IF(B53&lt;Inputs!B3,(Inputs!B12+Inputs!B13)*Inputs!B14+Inputs!B15*12+Inputs!B12*0.11,0)</f>
        <v>0</v>
      </c>
      <c r="F54" s="1">
        <f>(D54+E54)*Inputs!B17</f>
        <v>812628.05403009441</v>
      </c>
      <c r="G54" s="1">
        <f>IF(B53&gt;=Inputs!B3, J53-H53, 0)</f>
        <v>329765.87166576314</v>
      </c>
      <c r="H54" s="1">
        <f>IF(B53&gt;=Inputs!B3, Calculations!B16, 0)</f>
        <v>0</v>
      </c>
      <c r="I54" s="1">
        <f t="shared" si="5"/>
        <v>12091834.38279425</v>
      </c>
      <c r="J54" s="1">
        <f>73031*(1+Inputs!B16)^(A54-2025)</f>
        <v>339658.84781573602</v>
      </c>
    </row>
    <row r="55" spans="1:10" x14ac:dyDescent="0.3">
      <c r="A55">
        <f t="shared" si="6"/>
        <v>2078</v>
      </c>
      <c r="B55">
        <f t="shared" si="7"/>
        <v>102</v>
      </c>
      <c r="C55">
        <f t="shared" si="8"/>
        <v>97</v>
      </c>
      <c r="D55" s="1">
        <f t="shared" si="9"/>
        <v>12091834.38279425</v>
      </c>
      <c r="E55" s="1">
        <f>IF(B54&lt;Inputs!B3,(Inputs!B12+Inputs!B13)*Inputs!B14+Inputs!B15*12+Inputs!B12*0.11,0)</f>
        <v>0</v>
      </c>
      <c r="F55" s="1">
        <f>(D55+E55)*Inputs!B17</f>
        <v>846428.40679559752</v>
      </c>
      <c r="G55" s="1">
        <f>IF(B54&gt;=Inputs!B3, J54-H54, 0)</f>
        <v>339658.84781573602</v>
      </c>
      <c r="H55" s="1">
        <f>IF(B54&gt;=Inputs!B3, Calculations!B16, 0)</f>
        <v>0</v>
      </c>
      <c r="I55" s="1">
        <f t="shared" si="5"/>
        <v>12598603.941774111</v>
      </c>
      <c r="J55" s="1">
        <f>73031*(1+Inputs!B16)^(A55-2025)</f>
        <v>349848.61325020803</v>
      </c>
    </row>
    <row r="56" spans="1:10" x14ac:dyDescent="0.3">
      <c r="A56">
        <f t="shared" si="6"/>
        <v>2079</v>
      </c>
      <c r="B56">
        <f t="shared" si="7"/>
        <v>103</v>
      </c>
      <c r="C56">
        <f t="shared" si="8"/>
        <v>98</v>
      </c>
      <c r="D56" s="1">
        <f t="shared" si="9"/>
        <v>12598603.941774111</v>
      </c>
      <c r="E56" s="1">
        <f>IF(B55&lt;Inputs!B3,(Inputs!B12+Inputs!B13)*Inputs!B14+Inputs!B15*12+Inputs!B12*0.11,0)</f>
        <v>0</v>
      </c>
      <c r="F56" s="1">
        <f>(D56+E56)*Inputs!B17</f>
        <v>881902.27592418785</v>
      </c>
      <c r="G56" s="1">
        <f>IF(B55&gt;=Inputs!B3, J55-H55, 0)</f>
        <v>349848.61325020803</v>
      </c>
      <c r="H56" s="1">
        <f>IF(B55&gt;=Inputs!B3, Calculations!B16, 0)</f>
        <v>0</v>
      </c>
      <c r="I56" s="1">
        <f t="shared" si="5"/>
        <v>13130657.604448091</v>
      </c>
      <c r="J56" s="1">
        <f>73031*(1+Inputs!B16)^(A56-2025)</f>
        <v>360344.07164771436</v>
      </c>
    </row>
    <row r="57" spans="1:10" x14ac:dyDescent="0.3">
      <c r="A57">
        <f t="shared" si="6"/>
        <v>2080</v>
      </c>
      <c r="B57">
        <f t="shared" si="7"/>
        <v>104</v>
      </c>
      <c r="C57">
        <f t="shared" si="8"/>
        <v>99</v>
      </c>
      <c r="D57" s="1">
        <f t="shared" si="9"/>
        <v>13130657.604448091</v>
      </c>
      <c r="E57" s="1">
        <f>IF(B56&lt;Inputs!B3,(Inputs!B12+Inputs!B13)*Inputs!B14+Inputs!B15*12+Inputs!B12*0.11,0)</f>
        <v>0</v>
      </c>
      <c r="F57" s="1">
        <f>(D57+E57)*Inputs!B17</f>
        <v>919146.03231136652</v>
      </c>
      <c r="G57" s="1">
        <f>IF(B56&gt;=Inputs!B3, J56-H56, 0)</f>
        <v>360344.07164771436</v>
      </c>
      <c r="H57" s="1">
        <f>IF(B56&gt;=Inputs!B3, Calculations!B16, 0)</f>
        <v>0</v>
      </c>
      <c r="I57" s="1">
        <f t="shared" si="5"/>
        <v>13689459.565111743</v>
      </c>
      <c r="J57" s="1">
        <f>73031*(1+Inputs!B16)^(A57-2025)</f>
        <v>371154.39379714581</v>
      </c>
    </row>
    <row r="58" spans="1:10" x14ac:dyDescent="0.3">
      <c r="A58">
        <f t="shared" si="6"/>
        <v>2081</v>
      </c>
      <c r="B58">
        <f t="shared" si="7"/>
        <v>105</v>
      </c>
      <c r="C58">
        <f t="shared" si="8"/>
        <v>100</v>
      </c>
      <c r="D58" s="1">
        <f t="shared" si="9"/>
        <v>13689459.565111743</v>
      </c>
      <c r="E58" s="1">
        <f>IF(B57&lt;Inputs!B3,(Inputs!B12+Inputs!B13)*Inputs!B14+Inputs!B15*12+Inputs!B12*0.11,0)</f>
        <v>0</v>
      </c>
      <c r="F58" s="1">
        <f>(D58+E58)*Inputs!B17</f>
        <v>958262.16955782217</v>
      </c>
      <c r="G58" s="1">
        <f>IF(B57&gt;=Inputs!B3, J57-H57, 0)</f>
        <v>371154.39379714581</v>
      </c>
      <c r="H58" s="1">
        <f>IF(B57&gt;=Inputs!B3, Calculations!B16, 0)</f>
        <v>0</v>
      </c>
      <c r="I58" s="1">
        <f t="shared" si="5"/>
        <v>14276567.34087242</v>
      </c>
      <c r="J58" s="1">
        <f>73031*(1+Inputs!B16)^(A58-2025)</f>
        <v>382289.02561106009</v>
      </c>
    </row>
    <row r="59" spans="1:10" x14ac:dyDescent="0.3">
      <c r="A59">
        <f t="shared" si="6"/>
        <v>2082</v>
      </c>
      <c r="B59">
        <f t="shared" si="7"/>
        <v>106</v>
      </c>
      <c r="C59">
        <f t="shared" si="8"/>
        <v>101</v>
      </c>
      <c r="D59" s="1">
        <f t="shared" si="9"/>
        <v>14276567.34087242</v>
      </c>
      <c r="E59" s="1">
        <f>IF(B58&lt;Inputs!B3,(Inputs!B12+Inputs!B13)*Inputs!B14+Inputs!B15*12+Inputs!B12*0.11,0)</f>
        <v>0</v>
      </c>
      <c r="F59" s="1">
        <f>(D59+E59)*Inputs!B17</f>
        <v>999359.71386106953</v>
      </c>
      <c r="G59" s="1">
        <f>IF(B58&gt;=Inputs!B3, J58-H58, 0)</f>
        <v>382289.02561106009</v>
      </c>
      <c r="H59" s="1">
        <f>IF(B58&gt;=Inputs!B3, Calculations!B16, 0)</f>
        <v>0</v>
      </c>
      <c r="I59" s="1">
        <f t="shared" si="5"/>
        <v>14893638.029122429</v>
      </c>
      <c r="J59" s="1">
        <f>73031*(1+Inputs!B16)^(A59-2025)</f>
        <v>393757.69637939194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Gagneet Singh</cp:lastModifiedBy>
  <dcterms:created xsi:type="dcterms:W3CDTF">2025-09-18T12:02:36Z</dcterms:created>
  <dcterms:modified xsi:type="dcterms:W3CDTF">2025-09-18T12:44:51Z</dcterms:modified>
</cp:coreProperties>
</file>